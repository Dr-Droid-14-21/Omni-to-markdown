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oose Benchmark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Benchmark Metadata" sheetId="3" state="visible" r:id="rId3"/>
    <sheet xmlns:r="http://schemas.openxmlformats.org/officeDocument/2006/relationships" name="Benchmark List" sheetId="4" state="hidden" r:id="rId4"/>
    <sheet xmlns:r="http://schemas.openxmlformats.org/officeDocument/2006/relationships" name="Benchmark Matrix" sheetId="5" state="hidden" r:id="rId5"/>
    <sheet xmlns:r="http://schemas.openxmlformats.org/officeDocument/2006/relationships" name="Source Matrix" sheetId="6" state="hidden" r:id="rId6"/>
    <sheet xmlns:r="http://schemas.openxmlformats.org/officeDocument/2006/relationships" name="All Scores" sheetId="7" state="visible" r:id="rId7"/>
    <sheet xmlns:r="http://schemas.openxmlformats.org/officeDocument/2006/relationships" name="Benchmark Charts" sheetId="8" state="visible" r:id="rId8"/>
    <sheet xmlns:r="http://schemas.openxmlformats.org/officeDocument/2006/relationships" name="Benchmark Guide" sheetId="9" state="visible" r:id="rId9"/>
    <sheet xmlns:r="http://schemas.openxmlformats.org/officeDocument/2006/relationships" name="Similar Tests" sheetId="10" state="visible" r:id="rId10"/>
    <sheet xmlns:r="http://schemas.openxmlformats.org/officeDocument/2006/relationships" name="Sources" sheetId="11" state="visible" r:id="rId11"/>
  </sheets>
  <definedNames>
    <definedName name="_xlnm._FilterDatabase" localSheetId="6" hidden="1">'All Scores'!$A$1:$H$98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8"/>
    </font>
    <font>
      <b val="1"/>
      <color rgb="00FFFFFF"/>
    </font>
    <font>
      <b val="1"/>
      <color rgb="001F4E79"/>
    </font>
    <font>
      <b val="1"/>
      <color rgb="00FFFFFF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3F8"/>
      </patternFill>
    </fill>
    <fill>
      <patternFill patternType="solid">
        <fgColor rgb="00D9EA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pivotButton="0" quotePrefix="0" xfId="0"/>
    <xf numFmtId="0" fontId="3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2" borderId="0" pivotButton="0" quotePrefix="0" xfId="0"/>
    <xf numFmtId="0" fontId="5" fillId="4" borderId="0" pivotButton="0" quotePrefix="0" xfId="0"/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Selected benchmark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'Choose Benchmark'!B5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'Choose Benchmark'!$A$6:$A$13</f>
            </numRef>
          </cat>
          <val>
            <numRef>
              <f>'Choose Benchmark'!$B$6:$B$13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Model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GSM8K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'Benchmark Charts'!B2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'Benchmark Charts'!$A$3</f>
            </numRef>
          </cat>
          <val>
            <numRef>
              <f>'Benchmark Charts'!$B$3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EM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Model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HumanEval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'Benchmark Charts'!B36</f>
            </strRef>
          </tx>
          <spPr>
            <a:ln xmlns:a="http://schemas.openxmlformats.org/drawingml/2006/main">
              <a:prstDash val="solid"/>
            </a:ln>
          </spPr>
          <cat>
            <numRef>
              <f>'Benchmark Charts'!$A$37</f>
            </numRef>
          </cat>
          <val>
            <numRef>
              <f>'Benchmark Charts'!$B$37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pass@1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Model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SimpleQA-Verified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'Benchmark Charts'!B70</f>
            </strRef>
          </tx>
          <spPr>
            <a:ln xmlns:a="http://schemas.openxmlformats.org/drawingml/2006/main">
              <a:prstDash val="solid"/>
            </a:ln>
          </spPr>
          <cat>
            <numRef>
              <f>'Benchmark Charts'!$A$71</f>
            </numRef>
          </cat>
          <val>
            <numRef>
              <f>'Benchmark Charts'!$B$71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pass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Model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MATH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'Benchmark Charts'!B104</f>
            </strRef>
          </tx>
          <spPr>
            <a:ln xmlns:a="http://schemas.openxmlformats.org/drawingml/2006/main">
              <a:prstDash val="solid"/>
            </a:ln>
          </spPr>
          <cat>
            <numRef>
              <f>'Benchmark Charts'!$A$105</f>
            </numRef>
          </cat>
          <val>
            <numRef>
              <f>'Benchmark Charts'!$B$105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EM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Model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MMLU-Pro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'Benchmark Charts'!B138</f>
            </strRef>
          </tx>
          <spPr>
            <a:ln xmlns:a="http://schemas.openxmlformats.org/drawingml/2006/main">
              <a:prstDash val="solid"/>
            </a:ln>
          </spPr>
          <cat>
            <numRef>
              <f>'Benchmark Charts'!$A$139</f>
            </numRef>
          </cat>
          <val>
            <numRef>
              <f>'Benchmark Charts'!$B$139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EM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Model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LiveCodeBench v6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'Benchmark Charts'!B292</f>
            </strRef>
          </tx>
          <spPr>
            <a:ln xmlns:a="http://schemas.openxmlformats.org/drawingml/2006/main">
              <a:prstDash val="solid"/>
            </a:ln>
          </spPr>
          <cat>
            <numRef>
              <f>'Benchmark Charts'!$A$293:$A$294</f>
            </numRef>
          </cat>
          <val>
            <numRef>
              <f>'Benchmark Charts'!$B$293:$B$294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pass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Model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OJBench Python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'Benchmark Charts'!B326</f>
            </strRef>
          </tx>
          <spPr>
            <a:ln xmlns:a="http://schemas.openxmlformats.org/drawingml/2006/main">
              <a:prstDash val="solid"/>
            </a:ln>
          </spPr>
          <cat>
            <numRef>
              <f>'Benchmark Charts'!$A$327</f>
            </numRef>
          </cat>
          <val>
            <numRef>
              <f>'Benchmark Charts'!$B$327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pass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Model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SciCode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'Benchmark Charts'!B360</f>
            </strRef>
          </tx>
          <spPr>
            <a:ln xmlns:a="http://schemas.openxmlformats.org/drawingml/2006/main">
              <a:prstDash val="solid"/>
            </a:ln>
          </spPr>
          <cat>
            <numRef>
              <f>'Benchmark Charts'!$A$361</f>
            </numRef>
          </cat>
          <val>
            <numRef>
              <f>'Benchmark Charts'!$B$361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score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Model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Terminal-Bench 2.0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'Benchmark Charts'!B394</f>
            </strRef>
          </tx>
          <spPr>
            <a:ln xmlns:a="http://schemas.openxmlformats.org/drawingml/2006/main">
              <a:prstDash val="solid"/>
            </a:ln>
          </spPr>
          <cat>
            <numRef>
              <f>'Benchmark Charts'!$A$395:$A$402</f>
            </numRef>
          </cat>
          <val>
            <numRef>
              <f>'Benchmark Charts'!$B$395:$B$402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accuracy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Model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SWE-Bench Verified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'Benchmark Charts'!B428</f>
            </strRef>
          </tx>
          <spPr>
            <a:ln xmlns:a="http://schemas.openxmlformats.org/drawingml/2006/main">
              <a:prstDash val="solid"/>
            </a:ln>
          </spPr>
          <cat>
            <numRef>
              <f>'Benchmark Charts'!$A$429:$A$432</f>
            </numRef>
          </cat>
          <val>
            <numRef>
              <f>'Benchmark Charts'!$B$429:$B$432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resolved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Model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SWE-Bench Pro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'Benchmark Charts'!B462</f>
            </strRef>
          </tx>
          <spPr>
            <a:ln xmlns:a="http://schemas.openxmlformats.org/drawingml/2006/main">
              <a:prstDash val="solid"/>
            </a:ln>
          </spPr>
          <cat>
            <numRef>
              <f>'Benchmark Charts'!$A$463:$A$469</f>
            </numRef>
          </cat>
          <val>
            <numRef>
              <f>'Benchmark Charts'!$B$463:$B$469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resolved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Model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SWE-Bench Multilingual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'Benchmark Charts'!B496</f>
            </strRef>
          </tx>
          <spPr>
            <a:ln xmlns:a="http://schemas.openxmlformats.org/drawingml/2006/main">
              <a:prstDash val="solid"/>
            </a:ln>
          </spPr>
          <cat>
            <numRef>
              <f>'Benchmark Charts'!$A$497:$A$499</f>
            </numRef>
          </cat>
          <val>
            <numRef>
              <f>'Benchmark Charts'!$B$497:$B$499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resolved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Model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Multi SWE Bench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'Benchmark Charts'!B530</f>
            </strRef>
          </tx>
          <spPr>
            <a:ln xmlns:a="http://schemas.openxmlformats.org/drawingml/2006/main">
              <a:prstDash val="solid"/>
            </a:ln>
          </spPr>
          <cat>
            <numRef>
              <f>'Benchmark Charts'!$A$531</f>
            </numRef>
          </cat>
          <val>
            <numRef>
              <f>'Benchmark Charts'!$B$531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resolved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Model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SWE-Lancer IC Diamond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'Benchmark Charts'!B564</f>
            </strRef>
          </tx>
          <spPr>
            <a:ln xmlns:a="http://schemas.openxmlformats.org/drawingml/2006/main">
              <a:prstDash val="solid"/>
            </a:ln>
          </spPr>
          <cat>
            <numRef>
              <f>'Benchmark Charts'!$A$565</f>
            </numRef>
          </cat>
          <val>
            <numRef>
              <f>'Benchmark Charts'!$B$565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score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Model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NL2Repo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'Benchmark Charts'!B598</f>
            </strRef>
          </tx>
          <spPr>
            <a:ln xmlns:a="http://schemas.openxmlformats.org/drawingml/2006/main">
              <a:prstDash val="solid"/>
            </a:ln>
          </spPr>
          <cat>
            <numRef>
              <f>'Benchmark Charts'!$A$599:$A$600</f>
            </numRef>
          </cat>
          <val>
            <numRef>
              <f>'Benchmark Charts'!$B$599:$B$600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score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Model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VIBE-Pro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'Benchmark Charts'!B632</f>
            </strRef>
          </tx>
          <spPr>
            <a:ln xmlns:a="http://schemas.openxmlformats.org/drawingml/2006/main">
              <a:prstDash val="solid"/>
            </a:ln>
          </spPr>
          <cat>
            <numRef>
              <f>'Benchmark Charts'!$A$633</f>
            </numRef>
          </cat>
          <val>
            <numRef>
              <f>'Benchmark Charts'!$B$633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score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Model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Codeforces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'Benchmark Charts'!B666</f>
            </strRef>
          </tx>
          <spPr>
            <a:ln xmlns:a="http://schemas.openxmlformats.org/drawingml/2006/main">
              <a:prstDash val="solid"/>
            </a:ln>
          </spPr>
          <cat>
            <numRef>
              <f>'Benchmark Charts'!$A$667</f>
            </numRef>
          </cat>
          <val>
            <numRef>
              <f>'Benchmark Charts'!$B$667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rating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Model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GPQA-Diamond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'Benchmark Charts'!B700</f>
            </strRef>
          </tx>
          <spPr>
            <a:ln xmlns:a="http://schemas.openxmlformats.org/drawingml/2006/main">
              <a:prstDash val="solid"/>
            </a:ln>
          </spPr>
          <cat>
            <numRef>
              <f>'Benchmark Charts'!$A$701:$A$704</f>
            </numRef>
          </cat>
          <val>
            <numRef>
              <f>'Benchmark Charts'!$B$701:$B$704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accuracy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Model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AIME 2026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'Benchmark Charts'!B734</f>
            </strRef>
          </tx>
          <spPr>
            <a:ln xmlns:a="http://schemas.openxmlformats.org/drawingml/2006/main">
              <a:prstDash val="solid"/>
            </a:ln>
          </spPr>
          <cat>
            <numRef>
              <f>'Benchmark Charts'!$A$735:$A$737</f>
            </numRef>
          </cat>
          <val>
            <numRef>
              <f>'Benchmark Charts'!$B$735:$B$737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accuracy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Model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HMMT 2025 Nov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'Benchmark Charts'!B768</f>
            </strRef>
          </tx>
          <spPr>
            <a:ln xmlns:a="http://schemas.openxmlformats.org/drawingml/2006/main">
              <a:prstDash val="solid"/>
            </a:ln>
          </spPr>
          <cat>
            <numRef>
              <f>'Benchmark Charts'!$A$769</f>
            </numRef>
          </cat>
          <val>
            <numRef>
              <f>'Benchmark Charts'!$B$769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pass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Model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HMMT 2026 Feb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'Benchmark Charts'!B802</f>
            </strRef>
          </tx>
          <spPr>
            <a:ln xmlns:a="http://schemas.openxmlformats.org/drawingml/2006/main">
              <a:prstDash val="solid"/>
            </a:ln>
          </spPr>
          <cat>
            <numRef>
              <f>'Benchmark Charts'!$A$803:$A$805</f>
            </numRef>
          </cat>
          <val>
            <numRef>
              <f>'Benchmark Charts'!$B$803:$B$805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pass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Model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IMO-AnswerBench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'Benchmark Charts'!B836</f>
            </strRef>
          </tx>
          <spPr>
            <a:ln xmlns:a="http://schemas.openxmlformats.org/drawingml/2006/main">
              <a:prstDash val="solid"/>
            </a:ln>
          </spPr>
          <cat>
            <numRef>
              <f>'Benchmark Charts'!$A$837:$A$839</f>
            </numRef>
          </cat>
          <val>
            <numRef>
              <f>'Benchmark Charts'!$B$837:$B$839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pass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Model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FrontierMath Tier 1-3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'Benchmark Charts'!B870</f>
            </strRef>
          </tx>
          <spPr>
            <a:ln xmlns:a="http://schemas.openxmlformats.org/drawingml/2006/main">
              <a:prstDash val="solid"/>
            </a:ln>
          </spPr>
          <cat>
            <numRef>
              <f>'Benchmark Charts'!$A$871:$A$872</f>
            </numRef>
          </cat>
          <val>
            <numRef>
              <f>'Benchmark Charts'!$B$871:$B$872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pass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Model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FrontierMath Tier 4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'Benchmark Charts'!B904</f>
            </strRef>
          </tx>
          <spPr>
            <a:ln xmlns:a="http://schemas.openxmlformats.org/drawingml/2006/main">
              <a:prstDash val="solid"/>
            </a:ln>
          </spPr>
          <cat>
            <numRef>
              <f>'Benchmark Charts'!$A$905:$A$906</f>
            </numRef>
          </cat>
          <val>
            <numRef>
              <f>'Benchmark Charts'!$B$905:$B$906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pass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Model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HLE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'Benchmark Charts'!B938</f>
            </strRef>
          </tx>
          <spPr>
            <a:ln xmlns:a="http://schemas.openxmlformats.org/drawingml/2006/main">
              <a:prstDash val="solid"/>
            </a:ln>
          </spPr>
          <cat>
            <numRef>
              <f>'Benchmark Charts'!$A$939:$A$941</f>
            </numRef>
          </cat>
          <val>
            <numRef>
              <f>'Benchmark Charts'!$B$939:$B$941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pass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Model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HLE w/ tools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'Benchmark Charts'!B972</f>
            </strRef>
          </tx>
          <spPr>
            <a:ln xmlns:a="http://schemas.openxmlformats.org/drawingml/2006/main">
              <a:prstDash val="solid"/>
            </a:ln>
          </spPr>
          <cat>
            <numRef>
              <f>'Benchmark Charts'!$A$973:$A$976</f>
            </numRef>
          </cat>
          <val>
            <numRef>
              <f>'Benchmark Charts'!$B$973:$B$976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pass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Model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GDPval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'Benchmark Charts'!B1036</f>
            </strRef>
          </tx>
          <spPr>
            <a:ln xmlns:a="http://schemas.openxmlformats.org/drawingml/2006/main">
              <a:prstDash val="solid"/>
            </a:ln>
          </spPr>
          <cat>
            <numRef>
              <f>'Benchmark Charts'!$A$1037:$A$1039</f>
            </numRef>
          </cat>
          <val>
            <numRef>
              <f>'Benchmark Charts'!$B$1037:$B$1039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wins or ties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Model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GDPval-AA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'Benchmark Charts'!B1070</f>
            </strRef>
          </tx>
          <spPr>
            <a:ln xmlns:a="http://schemas.openxmlformats.org/drawingml/2006/main">
              <a:prstDash val="solid"/>
            </a:ln>
          </spPr>
          <cat>
            <numRef>
              <f>'Benchmark Charts'!$A$1071:$A$1076</f>
            </numRef>
          </cat>
          <val>
            <numRef>
              <f>'Benchmark Charts'!$B$1071:$B$1076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Elo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Model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OSWorld-Verified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'Benchmark Charts'!B1194</f>
            </strRef>
          </tx>
          <spPr>
            <a:ln xmlns:a="http://schemas.openxmlformats.org/drawingml/2006/main">
              <a:prstDash val="solid"/>
            </a:ln>
          </spPr>
          <cat>
            <numRef>
              <f>'Benchmark Charts'!$A$1195:$A$1198</f>
            </numRef>
          </cat>
          <val>
            <numRef>
              <f>'Benchmark Charts'!$B$1195:$B$1198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success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Model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BrowseComp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'Benchmark Charts'!B1228</f>
            </strRef>
          </tx>
          <spPr>
            <a:ln xmlns:a="http://schemas.openxmlformats.org/drawingml/2006/main">
              <a:prstDash val="solid"/>
            </a:ln>
          </spPr>
          <cat>
            <numRef>
              <f>'Benchmark Charts'!$A$1229:$A$1233</f>
            </numRef>
          </cat>
          <val>
            <numRef>
              <f>'Benchmark Charts'!$B$1229:$B$1233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pass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Model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BrowseComp w/ context management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'Benchmark Charts'!B1262</f>
            </strRef>
          </tx>
          <spPr>
            <a:ln xmlns:a="http://schemas.openxmlformats.org/drawingml/2006/main">
              <a:prstDash val="solid"/>
            </a:ln>
          </spPr>
          <cat>
            <numRef>
              <f>'Benchmark Charts'!$A$1263</f>
            </numRef>
          </cat>
          <val>
            <numRef>
              <f>'Benchmark Charts'!$B$1263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pass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Model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DeepSearchQA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'Benchmark Charts'!B1296</f>
            </strRef>
          </tx>
          <spPr>
            <a:ln xmlns:a="http://schemas.openxmlformats.org/drawingml/2006/main">
              <a:prstDash val="solid"/>
            </a:ln>
          </spPr>
          <cat>
            <numRef>
              <f>'Benchmark Charts'!$A$1297</f>
            </numRef>
          </cat>
          <val>
            <numRef>
              <f>'Benchmark Charts'!$B$1297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F1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Model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Toolathlon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'Benchmark Charts'!B1330</f>
            </strRef>
          </tx>
          <spPr>
            <a:ln xmlns:a="http://schemas.openxmlformats.org/drawingml/2006/main">
              <a:prstDash val="solid"/>
            </a:ln>
          </spPr>
          <cat>
            <numRef>
              <f>'Benchmark Charts'!$A$1331:$A$1334</f>
            </numRef>
          </cat>
          <val>
            <numRef>
              <f>'Benchmark Charts'!$B$1331:$B$1334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pass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Model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Tool-Decathlon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'Benchmark Charts'!B1364</f>
            </strRef>
          </tx>
          <spPr>
            <a:ln xmlns:a="http://schemas.openxmlformats.org/drawingml/2006/main">
              <a:prstDash val="solid"/>
            </a:ln>
          </spPr>
          <cat>
            <numRef>
              <f>'Benchmark Charts'!$A$1365</f>
            </numRef>
          </cat>
          <val>
            <numRef>
              <f>'Benchmark Charts'!$B$1365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pass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Model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MCP-Atlas Public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'Benchmark Charts'!B1398</f>
            </strRef>
          </tx>
          <spPr>
            <a:ln xmlns:a="http://schemas.openxmlformats.org/drawingml/2006/main">
              <a:prstDash val="solid"/>
            </a:ln>
          </spPr>
          <cat>
            <numRef>
              <f>'Benchmark Charts'!$A$1399:$A$1401</f>
            </numRef>
          </cat>
          <val>
            <numRef>
              <f>'Benchmark Charts'!$B$1399:$B$1401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pass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Model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tau3-Bench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'Benchmark Charts'!B1432</f>
            </strRef>
          </tx>
          <spPr>
            <a:ln xmlns:a="http://schemas.openxmlformats.org/drawingml/2006/main">
              <a:prstDash val="solid"/>
            </a:ln>
          </spPr>
          <cat>
            <numRef>
              <f>'Benchmark Charts'!$A$1433</f>
            </numRef>
          </cat>
          <val>
            <numRef>
              <f>'Benchmark Charts'!$B$1433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pass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Model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MM Claw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'Benchmark Charts'!B1466</f>
            </strRef>
          </tx>
          <spPr>
            <a:ln xmlns:a="http://schemas.openxmlformats.org/drawingml/2006/main">
              <a:prstDash val="solid"/>
            </a:ln>
          </spPr>
          <cat>
            <numRef>
              <f>'Benchmark Charts'!$A$1467</f>
            </numRef>
          </cat>
          <val>
            <numRef>
              <f>'Benchmark Charts'!$B$1467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score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Model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MLE Bench Lite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'Benchmark Charts'!B1500</f>
            </strRef>
          </tx>
          <spPr>
            <a:ln xmlns:a="http://schemas.openxmlformats.org/drawingml/2006/main">
              <a:prstDash val="solid"/>
            </a:ln>
          </spPr>
          <cat>
            <numRef>
              <f>'Benchmark Charts'!$A$1501</f>
            </numRef>
          </cat>
          <val>
            <numRef>
              <f>'Benchmark Charts'!$B$1501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medal rate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Model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CyberGym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'Benchmark Charts'!B1534</f>
            </strRef>
          </tx>
          <spPr>
            <a:ln xmlns:a="http://schemas.openxmlformats.org/drawingml/2006/main">
              <a:prstDash val="solid"/>
            </a:ln>
          </spPr>
          <cat>
            <numRef>
              <f>'Benchmark Charts'!$A$1535:$A$1538</f>
            </numRef>
          </cat>
          <val>
            <numRef>
              <f>'Benchmark Charts'!$B$1535:$B$1538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score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Model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Relationship Type="http://schemas.openxmlformats.org/officeDocument/2006/relationships/chart" Target="/xl/charts/chart4.xml" Id="rId3"/><Relationship Type="http://schemas.openxmlformats.org/officeDocument/2006/relationships/chart" Target="/xl/charts/chart5.xml" Id="rId4"/><Relationship Type="http://schemas.openxmlformats.org/officeDocument/2006/relationships/chart" Target="/xl/charts/chart6.xml" Id="rId5"/><Relationship Type="http://schemas.openxmlformats.org/officeDocument/2006/relationships/chart" Target="/xl/charts/chart7.xml" Id="rId6"/><Relationship Type="http://schemas.openxmlformats.org/officeDocument/2006/relationships/chart" Target="/xl/charts/chart8.xml" Id="rId7"/><Relationship Type="http://schemas.openxmlformats.org/officeDocument/2006/relationships/chart" Target="/xl/charts/chart9.xml" Id="rId8"/><Relationship Type="http://schemas.openxmlformats.org/officeDocument/2006/relationships/chart" Target="/xl/charts/chart10.xml" Id="rId9"/><Relationship Type="http://schemas.openxmlformats.org/officeDocument/2006/relationships/chart" Target="/xl/charts/chart11.xml" Id="rId10"/><Relationship Type="http://schemas.openxmlformats.org/officeDocument/2006/relationships/chart" Target="/xl/charts/chart12.xml" Id="rId11"/><Relationship Type="http://schemas.openxmlformats.org/officeDocument/2006/relationships/chart" Target="/xl/charts/chart13.xml" Id="rId12"/><Relationship Type="http://schemas.openxmlformats.org/officeDocument/2006/relationships/chart" Target="/xl/charts/chart14.xml" Id="rId13"/><Relationship Type="http://schemas.openxmlformats.org/officeDocument/2006/relationships/chart" Target="/xl/charts/chart15.xml" Id="rId14"/><Relationship Type="http://schemas.openxmlformats.org/officeDocument/2006/relationships/chart" Target="/xl/charts/chart16.xml" Id="rId15"/><Relationship Type="http://schemas.openxmlformats.org/officeDocument/2006/relationships/chart" Target="/xl/charts/chart17.xml" Id="rId16"/><Relationship Type="http://schemas.openxmlformats.org/officeDocument/2006/relationships/chart" Target="/xl/charts/chart18.xml" Id="rId17"/><Relationship Type="http://schemas.openxmlformats.org/officeDocument/2006/relationships/chart" Target="/xl/charts/chart19.xml" Id="rId18"/><Relationship Type="http://schemas.openxmlformats.org/officeDocument/2006/relationships/chart" Target="/xl/charts/chart20.xml" Id="rId19"/><Relationship Type="http://schemas.openxmlformats.org/officeDocument/2006/relationships/chart" Target="/xl/charts/chart21.xml" Id="rId20"/><Relationship Type="http://schemas.openxmlformats.org/officeDocument/2006/relationships/chart" Target="/xl/charts/chart22.xml" Id="rId21"/><Relationship Type="http://schemas.openxmlformats.org/officeDocument/2006/relationships/chart" Target="/xl/charts/chart23.xml" Id="rId22"/><Relationship Type="http://schemas.openxmlformats.org/officeDocument/2006/relationships/chart" Target="/xl/charts/chart24.xml" Id="rId23"/><Relationship Type="http://schemas.openxmlformats.org/officeDocument/2006/relationships/chart" Target="/xl/charts/chart25.xml" Id="rId24"/><Relationship Type="http://schemas.openxmlformats.org/officeDocument/2006/relationships/chart" Target="/xl/charts/chart26.xml" Id="rId25"/><Relationship Type="http://schemas.openxmlformats.org/officeDocument/2006/relationships/chart" Target="/xl/charts/chart27.xml" Id="rId26"/><Relationship Type="http://schemas.openxmlformats.org/officeDocument/2006/relationships/chart" Target="/xl/charts/chart28.xml" Id="rId27"/><Relationship Type="http://schemas.openxmlformats.org/officeDocument/2006/relationships/chart" Target="/xl/charts/chart29.xml" Id="rId28"/><Relationship Type="http://schemas.openxmlformats.org/officeDocument/2006/relationships/chart" Target="/xl/charts/chart30.xml" Id="rId29"/><Relationship Type="http://schemas.openxmlformats.org/officeDocument/2006/relationships/chart" Target="/xl/charts/chart31.xml" Id="rId30"/><Relationship Type="http://schemas.openxmlformats.org/officeDocument/2006/relationships/chart" Target="/xl/charts/chart32.xml" Id="rId31"/><Relationship Type="http://schemas.openxmlformats.org/officeDocument/2006/relationships/chart" Target="/xl/charts/chart33.xml" Id="rId32"/><Relationship Type="http://schemas.openxmlformats.org/officeDocument/2006/relationships/chart" Target="/xl/charts/chart34.xml" Id="rId33"/><Relationship Type="http://schemas.openxmlformats.org/officeDocument/2006/relationships/chart" Target="/xl/charts/chart35.xml" Id="rId34"/><Relationship Type="http://schemas.openxmlformats.org/officeDocument/2006/relationships/chart" Target="/xl/charts/chart36.xml" Id="rId35"/><Relationship Type="http://schemas.openxmlformats.org/officeDocument/2006/relationships/chart" Target="/xl/charts/chart37.xml" Id="rId36"/><Relationship Type="http://schemas.openxmlformats.org/officeDocument/2006/relationships/chart" Target="/xl/charts/chart38.xml" Id="rId37"/><Relationship Type="http://schemas.openxmlformats.org/officeDocument/2006/relationships/chart" Target="/xl/charts/chart39.xml" Id="rId38"/><Relationship Type="http://schemas.openxmlformats.org/officeDocument/2006/relationships/chart" Target="/xl/charts/chart40.xml" Id="rId39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468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35</row>
      <rowOff>0</rowOff>
    </from>
    <ext cx="4680000" cy="21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69</row>
      <rowOff>0</rowOff>
    </from>
    <ext cx="4680000" cy="21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103</row>
      <rowOff>0</rowOff>
    </from>
    <ext cx="4680000" cy="21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5</col>
      <colOff>0</colOff>
      <row>137</row>
      <rowOff>0</rowOff>
    </from>
    <ext cx="4680000" cy="216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5</col>
      <colOff>0</colOff>
      <row>291</row>
      <rowOff>0</rowOff>
    </from>
    <ext cx="4680000" cy="216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5</col>
      <colOff>0</colOff>
      <row>325</row>
      <rowOff>0</rowOff>
    </from>
    <ext cx="4680000" cy="216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5</col>
      <colOff>0</colOff>
      <row>359</row>
      <rowOff>0</rowOff>
    </from>
    <ext cx="4680000" cy="216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5</col>
      <colOff>0</colOff>
      <row>393</row>
      <rowOff>0</rowOff>
    </from>
    <ext cx="4680000" cy="216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5</col>
      <colOff>0</colOff>
      <row>427</row>
      <rowOff>0</rowOff>
    </from>
    <ext cx="4680000" cy="216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5</col>
      <colOff>0</colOff>
      <row>461</row>
      <rowOff>0</rowOff>
    </from>
    <ext cx="4680000" cy="216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5</col>
      <colOff>0</colOff>
      <row>495</row>
      <rowOff>0</rowOff>
    </from>
    <ext cx="4680000" cy="216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5</col>
      <colOff>0</colOff>
      <row>529</row>
      <rowOff>0</rowOff>
    </from>
    <ext cx="4680000" cy="216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5</col>
      <colOff>0</colOff>
      <row>563</row>
      <rowOff>0</rowOff>
    </from>
    <ext cx="4680000" cy="216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5</col>
      <colOff>0</colOff>
      <row>597</row>
      <rowOff>0</rowOff>
    </from>
    <ext cx="4680000" cy="216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5</col>
      <colOff>0</colOff>
      <row>631</row>
      <rowOff>0</rowOff>
    </from>
    <ext cx="4680000" cy="216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5</col>
      <colOff>0</colOff>
      <row>665</row>
      <rowOff>0</rowOff>
    </from>
    <ext cx="4680000" cy="216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5</col>
      <colOff>0</colOff>
      <row>699</row>
      <rowOff>0</rowOff>
    </from>
    <ext cx="4680000" cy="216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5</col>
      <colOff>0</colOff>
      <row>733</row>
      <rowOff>0</rowOff>
    </from>
    <ext cx="4680000" cy="216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5</col>
      <colOff>0</colOff>
      <row>767</row>
      <rowOff>0</rowOff>
    </from>
    <ext cx="4680000" cy="216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5</col>
      <colOff>0</colOff>
      <row>801</row>
      <rowOff>0</rowOff>
    </from>
    <ext cx="4680000" cy="216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5</col>
      <colOff>0</colOff>
      <row>835</row>
      <rowOff>0</rowOff>
    </from>
    <ext cx="4680000" cy="216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5</col>
      <colOff>0</colOff>
      <row>869</row>
      <rowOff>0</rowOff>
    </from>
    <ext cx="4680000" cy="216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5</col>
      <colOff>0</colOff>
      <row>903</row>
      <rowOff>0</rowOff>
    </from>
    <ext cx="4680000" cy="216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5</col>
      <colOff>0</colOff>
      <row>937</row>
      <rowOff>0</rowOff>
    </from>
    <ext cx="4680000" cy="216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5</col>
      <colOff>0</colOff>
      <row>971</row>
      <rowOff>0</rowOff>
    </from>
    <ext cx="4680000" cy="216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5</col>
      <colOff>0</colOff>
      <row>1035</row>
      <rowOff>0</rowOff>
    </from>
    <ext cx="4680000" cy="216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5</col>
      <colOff>0</colOff>
      <row>1069</row>
      <rowOff>0</rowOff>
    </from>
    <ext cx="4680000" cy="216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5</col>
      <colOff>0</colOff>
      <row>1193</row>
      <rowOff>0</rowOff>
    </from>
    <ext cx="4680000" cy="216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5</col>
      <colOff>0</colOff>
      <row>1227</row>
      <rowOff>0</rowOff>
    </from>
    <ext cx="4680000" cy="216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5</col>
      <colOff>0</colOff>
      <row>1261</row>
      <rowOff>0</rowOff>
    </from>
    <ext cx="4680000" cy="216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5</col>
      <colOff>0</colOff>
      <row>1295</row>
      <rowOff>0</rowOff>
    </from>
    <ext cx="4680000" cy="216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5</col>
      <colOff>0</colOff>
      <row>1329</row>
      <rowOff>0</rowOff>
    </from>
    <ext cx="4680000" cy="216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5</col>
      <colOff>0</colOff>
      <row>1363</row>
      <rowOff>0</rowOff>
    </from>
    <ext cx="4680000" cy="216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5</col>
      <colOff>0</colOff>
      <row>1397</row>
      <rowOff>0</rowOff>
    </from>
    <ext cx="4680000" cy="216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5</col>
      <colOff>0</colOff>
      <row>1431</row>
      <rowOff>0</rowOff>
    </from>
    <ext cx="4680000" cy="216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5</col>
      <colOff>0</colOff>
      <row>1465</row>
      <rowOff>0</rowOff>
    </from>
    <ext cx="4680000" cy="216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5</col>
      <colOff>0</colOff>
      <row>1499</row>
      <rowOff>0</rowOff>
    </from>
    <ext cx="4680000" cy="216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5</col>
      <colOff>0</colOff>
      <row>1533</row>
      <rowOff>0</rowOff>
    </from>
    <ext cx="4680000" cy="216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8" customWidth="1" min="3" max="3"/>
    <col width="50" customWidth="1" min="4" max="4"/>
    <col width="4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Choose one benchmark</t>
        </is>
      </c>
    </row>
    <row r="2">
      <c r="A2" t="inlineStr">
        <is>
          <t>Benchmark</t>
        </is>
      </c>
      <c r="B2" t="inlineStr">
        <is>
          <t>SWE-Bench Pro</t>
        </is>
      </c>
    </row>
    <row r="3">
      <c r="A3" s="2" t="inlineStr">
        <is>
          <t>Models are kept down the left side. Pick a benchmark from B2; the table, chart, and explanation boxes update.</t>
        </is>
      </c>
    </row>
    <row r="5">
      <c r="A5" s="3" t="inlineStr">
        <is>
          <t>Model</t>
        </is>
      </c>
      <c r="B5" s="3" t="inlineStr">
        <is>
          <t>Score</t>
        </is>
      </c>
      <c r="C5" s="3" t="inlineStr">
        <is>
          <t>Unit</t>
        </is>
      </c>
      <c r="D5" s="3" t="inlineStr">
        <is>
          <t>Source</t>
        </is>
      </c>
    </row>
    <row r="6">
      <c r="A6" t="inlineStr">
        <is>
          <t>ChatGPT 5.5</t>
        </is>
      </c>
      <c r="B6">
        <f>IFERROR(INDEX('Benchmark Matrix'!$B$2:$AV$9,MATCH(A6,'Benchmark Matrix'!$A$2:$A$9,0),MATCH($B$2,'Benchmark Matrix'!$B$1:$AV$1,0)),"")</f>
        <v/>
      </c>
      <c r="C6">
        <f>IF($B6="","",IFERROR(INDEX('Benchmark Metadata'!$C$2:$C$48,MATCH($B$2,'Benchmark Metadata'!$A$2:$A$48,0)),""))</f>
        <v/>
      </c>
      <c r="D6">
        <f>IF($B6="","",IFERROR(INDEX('Source Matrix'!$B$2:$AV$9,MATCH(A6,'Source Matrix'!$A$2:$A$9,0),MATCH($B$2,'Source Matrix'!$B$1:$AV$1,0)),""))</f>
        <v/>
      </c>
    </row>
    <row r="7">
      <c r="A7" t="inlineStr">
        <is>
          <t>ChatGPT 5.3 Codex</t>
        </is>
      </c>
      <c r="B7">
        <f>IFERROR(INDEX('Benchmark Matrix'!$B$2:$AV$9,MATCH(A7,'Benchmark Matrix'!$A$2:$A$9,0),MATCH($B$2,'Benchmark Matrix'!$B$1:$AV$1,0)),"")</f>
        <v/>
      </c>
      <c r="C7">
        <f>IF($B7="","",IFERROR(INDEX('Benchmark Metadata'!$C$2:$C$48,MATCH($B$2,'Benchmark Metadata'!$A$2:$A$48,0)),""))</f>
        <v/>
      </c>
      <c r="D7">
        <f>IF($B7="","",IFERROR(INDEX('Source Matrix'!$B$2:$AV$9,MATCH(A7,'Source Matrix'!$A$2:$A$9,0),MATCH($B$2,'Source Matrix'!$B$1:$AV$1,0)),""))</f>
        <v/>
      </c>
    </row>
    <row r="8">
      <c r="A8" t="inlineStr">
        <is>
          <t>Claude Opus 4.7</t>
        </is>
      </c>
      <c r="B8">
        <f>IFERROR(INDEX('Benchmark Matrix'!$B$2:$AV$9,MATCH(A8,'Benchmark Matrix'!$A$2:$A$9,0),MATCH($B$2,'Benchmark Matrix'!$B$1:$AV$1,0)),"")</f>
        <v/>
      </c>
      <c r="C8">
        <f>IF($B8="","",IFERROR(INDEX('Benchmark Metadata'!$C$2:$C$48,MATCH($B$2,'Benchmark Metadata'!$A$2:$A$48,0)),""))</f>
        <v/>
      </c>
      <c r="D8">
        <f>IF($B8="","",IFERROR(INDEX('Source Matrix'!$B$2:$AV$9,MATCH(A8,'Source Matrix'!$A$2:$A$9,0),MATCH($B$2,'Source Matrix'!$B$1:$AV$1,0)),""))</f>
        <v/>
      </c>
    </row>
    <row r="9">
      <c r="A9" t="inlineStr">
        <is>
          <t>Claude Sonnet 4.6</t>
        </is>
      </c>
      <c r="B9">
        <f>IFERROR(INDEX('Benchmark Matrix'!$B$2:$AV$9,MATCH(A9,'Benchmark Matrix'!$A$2:$A$9,0),MATCH($B$2,'Benchmark Matrix'!$B$1:$AV$1,0)),"")</f>
        <v/>
      </c>
      <c r="C9">
        <f>IF($B9="","",IFERROR(INDEX('Benchmark Metadata'!$C$2:$C$48,MATCH($B$2,'Benchmark Metadata'!$A$2:$A$48,0)),""))</f>
        <v/>
      </c>
      <c r="D9">
        <f>IF($B9="","",IFERROR(INDEX('Source Matrix'!$B$2:$AV$9,MATCH(A9,'Source Matrix'!$A$2:$A$9,0),MATCH($B$2,'Source Matrix'!$B$1:$AV$1,0)),""))</f>
        <v/>
      </c>
    </row>
    <row r="10">
      <c r="A10" t="inlineStr">
        <is>
          <t>MiniMax M2.7</t>
        </is>
      </c>
      <c r="B10">
        <f>IFERROR(INDEX('Benchmark Matrix'!$B$2:$AV$9,MATCH(A10,'Benchmark Matrix'!$A$2:$A$9,0),MATCH($B$2,'Benchmark Matrix'!$B$1:$AV$1,0)),"")</f>
        <v/>
      </c>
      <c r="C10">
        <f>IF($B10="","",IFERROR(INDEX('Benchmark Metadata'!$C$2:$C$48,MATCH($B$2,'Benchmark Metadata'!$A$2:$A$48,0)),""))</f>
        <v/>
      </c>
      <c r="D10">
        <f>IF($B10="","",IFERROR(INDEX('Source Matrix'!$B$2:$AV$9,MATCH(A10,'Source Matrix'!$A$2:$A$9,0),MATCH($B$2,'Source Matrix'!$B$1:$AV$1,0)),""))</f>
        <v/>
      </c>
    </row>
    <row r="11">
      <c r="A11" t="inlineStr">
        <is>
          <t>Kimi K2.6</t>
        </is>
      </c>
      <c r="B11">
        <f>IFERROR(INDEX('Benchmark Matrix'!$B$2:$AV$9,MATCH(A11,'Benchmark Matrix'!$A$2:$A$9,0),MATCH($B$2,'Benchmark Matrix'!$B$1:$AV$1,0)),"")</f>
        <v/>
      </c>
      <c r="C11">
        <f>IF($B11="","",IFERROR(INDEX('Benchmark Metadata'!$C$2:$C$48,MATCH($B$2,'Benchmark Metadata'!$A$2:$A$48,0)),""))</f>
        <v/>
      </c>
      <c r="D11">
        <f>IF($B11="","",IFERROR(INDEX('Source Matrix'!$B$2:$AV$9,MATCH(A11,'Source Matrix'!$A$2:$A$9,0),MATCH($B$2,'Source Matrix'!$B$1:$AV$1,0)),""))</f>
        <v/>
      </c>
    </row>
    <row r="12">
      <c r="A12" t="inlineStr">
        <is>
          <t>DeepSeek V4-Pro Max</t>
        </is>
      </c>
      <c r="B12">
        <f>IFERROR(INDEX('Benchmark Matrix'!$B$2:$AV$9,MATCH(A12,'Benchmark Matrix'!$A$2:$A$9,0),MATCH($B$2,'Benchmark Matrix'!$B$1:$AV$1,0)),"")</f>
        <v/>
      </c>
      <c r="C12">
        <f>IF($B12="","",IFERROR(INDEX('Benchmark Metadata'!$C$2:$C$48,MATCH($B$2,'Benchmark Metadata'!$A$2:$A$48,0)),""))</f>
        <v/>
      </c>
      <c r="D12">
        <f>IF($B12="","",IFERROR(INDEX('Source Matrix'!$B$2:$AV$9,MATCH(A12,'Source Matrix'!$A$2:$A$9,0),MATCH($B$2,'Source Matrix'!$B$1:$AV$1,0)),""))</f>
        <v/>
      </c>
    </row>
    <row r="13">
      <c r="A13" t="inlineStr">
        <is>
          <t>GLM-5.1</t>
        </is>
      </c>
      <c r="B13">
        <f>IFERROR(INDEX('Benchmark Matrix'!$B$2:$AV$9,MATCH(A13,'Benchmark Matrix'!$A$2:$A$9,0),MATCH($B$2,'Benchmark Matrix'!$B$1:$AV$1,0)),"")</f>
        <v/>
      </c>
      <c r="C13">
        <f>IF($B13="","",IFERROR(INDEX('Benchmark Metadata'!$C$2:$C$48,MATCH($B$2,'Benchmark Metadata'!$A$2:$A$48,0)),""))</f>
        <v/>
      </c>
      <c r="D13">
        <f>IF($B13="","",IFERROR(INDEX('Source Matrix'!$B$2:$AV$9,MATCH(A13,'Source Matrix'!$A$2:$A$9,0),MATCH($B$2,'Source Matrix'!$B$1:$AV$1,0)),""))</f>
        <v/>
      </c>
    </row>
    <row r="16" ht="26" customHeight="1">
      <c r="A16" s="4" t="inlineStr">
        <is>
          <t>What is this benchmark?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</row>
    <row r="17" ht="26" customHeight="1">
      <c r="A17" s="6">
        <f>IFERROR(INDEX('Benchmark Metadata'!$E$2:$E$48,MATCH($B$2,'Benchmark Metadata'!$A$2:$A$48,0)),"")</f>
        <v/>
      </c>
      <c r="B17" s="5" t="n"/>
      <c r="C17" s="5" t="n"/>
      <c r="D17" s="5" t="n"/>
      <c r="E17" s="5" t="n"/>
      <c r="F17" s="5" t="n"/>
      <c r="G17" s="5" t="n"/>
      <c r="H17" s="5" t="n"/>
      <c r="I17" s="5" t="n"/>
    </row>
    <row r="18" ht="26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</row>
    <row r="19" ht="26" customHeight="1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</row>
    <row r="20" ht="26" customHeight="1"/>
    <row r="21" ht="26" customHeight="1">
      <c r="A21" s="4" t="inlineStr">
        <is>
          <t>Explain it for an 11-year-old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</row>
    <row r="22" ht="26" customHeight="1">
      <c r="A22" s="6">
        <f>IFERROR(INDEX('Benchmark Metadata'!$F$2:$F$48,MATCH($B$2,'Benchmark Metadata'!$A$2:$A$48,0)),"")</f>
        <v/>
      </c>
      <c r="B22" s="5" t="n"/>
      <c r="C22" s="5" t="n"/>
      <c r="D22" s="5" t="n"/>
      <c r="E22" s="5" t="n"/>
      <c r="F22" s="5" t="n"/>
      <c r="G22" s="5" t="n"/>
      <c r="H22" s="5" t="n"/>
      <c r="I22" s="5" t="n"/>
    </row>
    <row r="23" ht="26" customHeight="1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</row>
    <row r="24" ht="26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</row>
    <row r="25" ht="26" customHeight="1"/>
    <row r="26" ht="26" customHeight="1">
      <c r="A26" s="4" t="inlineStr">
        <is>
          <t>Top score example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</row>
    <row r="27" ht="26" customHeight="1">
      <c r="A27" s="6">
        <f>IFERROR(INDEX('Benchmark Metadata'!$I$2:$I$48,MATCH($B$2,'Benchmark Metadata'!$A$2:$A$48,0)),"")</f>
        <v/>
      </c>
      <c r="B27" s="5" t="n"/>
      <c r="C27" s="5" t="n"/>
      <c r="D27" s="5" t="n"/>
      <c r="E27" s="5" t="n"/>
      <c r="F27" s="5" t="n"/>
      <c r="G27" s="5" t="n"/>
      <c r="H27" s="5" t="n"/>
      <c r="I27" s="5" t="n"/>
    </row>
    <row r="28" ht="26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</row>
    <row r="29" ht="26" customHeight="1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</row>
    <row r="30" ht="26" customHeight="1"/>
    <row r="31" ht="26" customHeight="1">
      <c r="A31" s="4" t="inlineStr">
        <is>
          <t>Similar tests and differences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</row>
    <row r="32" ht="26" customHeight="1">
      <c r="A32" s="6">
        <f>IFERROR(INDEX('Benchmark Metadata'!$H$2:$H$48,MATCH($B$2,'Benchmark Metadata'!$A$2:$A$48,0)),"")</f>
        <v/>
      </c>
      <c r="B32" s="5" t="n"/>
      <c r="C32" s="5" t="n"/>
      <c r="D32" s="5" t="n"/>
      <c r="E32" s="5" t="n"/>
      <c r="F32" s="5" t="n"/>
      <c r="G32" s="5" t="n"/>
      <c r="H32" s="5" t="n"/>
      <c r="I32" s="5" t="n"/>
    </row>
    <row r="33" ht="26" customHeight="1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</row>
    <row r="34" ht="26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</row>
    <row r="35" ht="26" customHeight="1"/>
  </sheetData>
  <mergeCells count="9">
    <mergeCell ref="A32:I34"/>
    <mergeCell ref="A3:H3"/>
    <mergeCell ref="A27:I29"/>
    <mergeCell ref="A22:I24"/>
    <mergeCell ref="A31:I31"/>
    <mergeCell ref="A17:I19"/>
    <mergeCell ref="A26:I26"/>
    <mergeCell ref="A21:I21"/>
    <mergeCell ref="A16:I16"/>
  </mergeCells>
  <dataValidations count="1">
    <dataValidation sqref="B2" showDropDown="0" showInputMessage="0" showErrorMessage="0" allowBlank="0" type="list">
      <formula1>='Benchmark List'!$A$1:$A$47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65" customWidth="1" min="2" max="2"/>
  </cols>
  <sheetData>
    <row r="1">
      <c r="A1" s="7" t="inlineStr">
        <is>
          <t>What changed</t>
        </is>
      </c>
      <c r="B1" s="7" t="inlineStr">
        <is>
          <t>Details</t>
        </is>
      </c>
    </row>
    <row r="2">
      <c r="A2" s="8" t="inlineStr">
        <is>
          <t>Benchmark-first layout</t>
        </is>
      </c>
      <c r="B2" s="8" t="inlineStr">
        <is>
          <t>Use Choose Benchmark to pick one benchmark at a time. The models stay down the left side, with a live bar chart.</t>
        </is>
      </c>
    </row>
    <row r="3">
      <c r="A3" s="8" t="inlineStr">
        <is>
          <t>OpenAI naming</t>
        </is>
      </c>
      <c r="B3" s="8" t="inlineStr">
        <is>
          <t>The OpenAI rows are labeled ChatGPT 5.5 and ChatGPT 5.3 Codex.</t>
        </is>
      </c>
    </row>
    <row r="4">
      <c r="A4" s="8" t="inlineStr">
        <is>
          <t>Plain-English boxes</t>
        </is>
      </c>
      <c r="B4" s="8" t="inlineStr">
        <is>
          <t>Each benchmark has wide explanation boxes: what it is, explain for 11, top-score example, and similar-test differences.</t>
        </is>
      </c>
    </row>
    <row r="5">
      <c r="A5" s="8" t="inlineStr">
        <is>
          <t>Missing scores</t>
        </is>
      </c>
      <c r="B5" s="8" t="inlineStr">
        <is>
          <t>Blank cells mean no comparable public value was found in the selected source set, not a zero score.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1" customWidth="1" min="2" max="2"/>
    <col width="16" customWidth="1" min="3" max="3"/>
    <col width="31" customWidth="1" min="4" max="4"/>
    <col width="65" customWidth="1" min="5" max="5"/>
    <col width="65" customWidth="1" min="6" max="6"/>
    <col width="65" customWidth="1" min="7" max="7"/>
    <col width="65" customWidth="1" min="8" max="8"/>
    <col width="65" customWidth="1" min="9" max="9"/>
  </cols>
  <sheetData>
    <row r="1">
      <c r="A1" s="7" t="inlineStr">
        <is>
          <t>Benchmark</t>
        </is>
      </c>
      <c r="B1" s="7" t="inlineStr">
        <is>
          <t>Category</t>
        </is>
      </c>
      <c r="C1" s="7" t="inlineStr">
        <is>
          <t>Unit</t>
        </is>
      </c>
      <c r="D1" s="7" t="inlineStr">
        <is>
          <t>Difficulty Ladder</t>
        </is>
      </c>
      <c r="E1" s="7" t="inlineStr">
        <is>
          <t>What is</t>
        </is>
      </c>
      <c r="F1" s="7" t="inlineStr">
        <is>
          <t>Explain for 11</t>
        </is>
      </c>
      <c r="G1" s="7" t="inlineStr">
        <is>
          <t>Top-score example</t>
        </is>
      </c>
      <c r="H1" s="7" t="inlineStr">
        <is>
          <t>Similar tests and differences</t>
        </is>
      </c>
      <c r="I1" s="7" t="inlineStr">
        <is>
          <t>Top score note</t>
        </is>
      </c>
    </row>
    <row r="2">
      <c r="A2" s="8" t="inlineStr">
        <is>
          <t>GSM8K</t>
        </is>
      </c>
      <c r="B2" s="8" t="inlineStr">
        <is>
          <t>Math &amp; Reasoning</t>
        </is>
      </c>
      <c r="C2" s="8" t="inlineStr">
        <is>
          <t>% EM</t>
        </is>
      </c>
      <c r="D2" s="8" t="inlineStr">
        <is>
          <t>1 - Starter math</t>
        </is>
      </c>
      <c r="E2" s="8" t="inlineStr">
        <is>
          <t>Grade-school arithmetic word problems.</t>
        </is>
      </c>
      <c r="F2" s="8" t="inlineStr">
        <is>
          <t>Story problems: read the sentence, set up the numbers, and calculate the answer.</t>
        </is>
      </c>
      <c r="G2" s="8" t="inlineStr">
        <is>
          <t>multi-step school word problems with clean arithmetic</t>
        </is>
      </c>
      <c r="H2" s="8" t="inlineStr">
        <is>
          <t>Easier than MATH, AIME, HMMT, and IMO-style tests.</t>
        </is>
      </c>
      <c r="I2" s="8" t="inlineStr">
        <is>
          <t>Top available score here: DeepSeek V4-Pro Max at 92.6 % EM. At that level, the model is solving multi-step school word problems with clean arithmetic.</t>
        </is>
      </c>
    </row>
    <row r="3">
      <c r="A3" s="8" t="inlineStr">
        <is>
          <t>HumanEval</t>
        </is>
      </c>
      <c r="B3" s="8" t="inlineStr">
        <is>
          <t>Coding</t>
        </is>
      </c>
      <c r="C3" s="8" t="inlineStr">
        <is>
          <t>% pass@1</t>
        </is>
      </c>
      <c r="D3" s="8" t="inlineStr">
        <is>
          <t>1 - Starter coding</t>
        </is>
      </c>
      <c r="E3" s="8" t="inlineStr">
        <is>
          <t>Small Python function-writing tasks checked by hidden tests.</t>
        </is>
      </c>
      <c r="F3" s="8" t="inlineStr">
        <is>
          <t>Write one short function, then the computer tries secret examples to see if it works.</t>
        </is>
      </c>
      <c r="G3" s="8" t="inlineStr">
        <is>
          <t>basic Python functions such as list cleanup, string logic, or simple algorithms</t>
        </is>
      </c>
      <c r="H3" s="8" t="inlineStr">
        <is>
          <t>Simpler and older than LiveCodeBench; much smaller than SWE-Bench.</t>
        </is>
      </c>
      <c r="I3" s="8" t="inlineStr">
        <is>
          <t>Top available score here: DeepSeek V4-Pro Max at 76.8 % pass@1. At that level, the model is solving basic Python functions such as list cleanup, string logic, or simple algorithms.</t>
        </is>
      </c>
    </row>
    <row r="4">
      <c r="A4" s="8" t="inlineStr">
        <is>
          <t>SimpleQA-Verified</t>
        </is>
      </c>
      <c r="B4" s="8" t="inlineStr">
        <is>
          <t>Math &amp; Reasoning</t>
        </is>
      </c>
      <c r="C4" s="8" t="inlineStr">
        <is>
          <t>% pass</t>
        </is>
      </c>
      <c r="D4" s="8" t="inlineStr">
        <is>
          <t>1 - Starter facts</t>
        </is>
      </c>
      <c r="E4" s="8" t="inlineStr">
        <is>
          <t>Short factual questions with verified answers.</t>
        </is>
      </c>
      <c r="F4" s="8" t="inlineStr">
        <is>
          <t>A fact-check quiz: answer clearly and do not make things up.</t>
        </is>
      </c>
      <c r="G4" s="8" t="inlineStr">
        <is>
          <t>straight factual questions where accuracy matters more than style</t>
        </is>
      </c>
      <c r="H4" s="8" t="inlineStr">
        <is>
          <t>Unlike BrowseComp, the answer should not require a long web hunt.</t>
        </is>
      </c>
      <c r="I4" s="8" t="inlineStr">
        <is>
          <t>Top available score here: DeepSeek V4-Pro Max at 57.9 % pass. At that level, the model is solving straight factual questions where accuracy matters more than style.</t>
        </is>
      </c>
    </row>
    <row r="5">
      <c r="A5" s="8" t="inlineStr">
        <is>
          <t>MATH</t>
        </is>
      </c>
      <c r="B5" s="8" t="inlineStr">
        <is>
          <t>Math &amp; Reasoning</t>
        </is>
      </c>
      <c r="C5" s="8" t="inlineStr">
        <is>
          <t>% EM</t>
        </is>
      </c>
      <c r="D5" s="8" t="inlineStr">
        <is>
          <t>2 - School contest math</t>
        </is>
      </c>
      <c r="E5" s="8" t="inlineStr">
        <is>
          <t>Competition-style math problems covering algebra, geometry, counting, and number theory.</t>
        </is>
      </c>
      <c r="F5" s="8" t="inlineStr">
        <is>
          <t>Hard school math puzzles where one missed step ruins the answer.</t>
        </is>
      </c>
      <c r="G5" s="8" t="inlineStr">
        <is>
          <t>contest math that needs several steps, not just arithmetic</t>
        </is>
      </c>
      <c r="H5" s="8" t="inlineStr">
        <is>
          <t>Harder than GSM8K; easier than AIME/HMMT/IMO and FrontierMath.</t>
        </is>
      </c>
      <c r="I5" s="8" t="inlineStr">
        <is>
          <t>Top available score here: DeepSeek V4-Pro Max at 64.5 % EM. At that level, the model is solving contest math that needs several steps, not just arithmetic.</t>
        </is>
      </c>
    </row>
    <row r="6">
      <c r="A6" s="8" t="inlineStr">
        <is>
          <t>MMLU-Pro</t>
        </is>
      </c>
      <c r="B6" s="8" t="inlineStr">
        <is>
          <t>Math &amp; Reasoning</t>
        </is>
      </c>
      <c r="C6" s="8" t="inlineStr">
        <is>
          <t>% EM</t>
        </is>
      </c>
      <c r="D6" s="8" t="inlineStr">
        <is>
          <t>2 - Broad knowledge</t>
        </is>
      </c>
      <c r="E6" s="8" t="inlineStr">
        <is>
          <t>A harder version of MMLU with professional and academic multiple-choice questions.</t>
        </is>
      </c>
      <c r="F6" s="8" t="inlineStr">
        <is>
          <t>A big quiz across school and work subjects, but the questions try to trick shallow guessing.</t>
        </is>
      </c>
      <c r="G6" s="8" t="inlineStr">
        <is>
          <t>multi-subject reasoning across science, law, medicine, and humanities</t>
        </is>
      </c>
      <c r="H6" s="8" t="inlineStr">
        <is>
          <t>Broader than GPQA, which focuses on expert science.</t>
        </is>
      </c>
      <c r="I6" s="8" t="inlineStr">
        <is>
          <t>Top available score here: DeepSeek V4-Pro Max at 87.5 % EM. At that level, the model is solving multi-subject reasoning across science, law, medicine, and humanities.</t>
        </is>
      </c>
    </row>
    <row r="7">
      <c r="A7" s="8" t="inlineStr">
        <is>
          <t>MMMLU</t>
        </is>
      </c>
      <c r="B7" s="8" t="inlineStr">
        <is>
          <t>Writing &amp; Knowledge</t>
        </is>
      </c>
      <c r="C7" s="8" t="inlineStr">
        <is>
          <t>score</t>
        </is>
      </c>
      <c r="D7" s="8" t="inlineStr">
        <is>
          <t>2 - Multilingual knowledge</t>
        </is>
      </c>
      <c r="E7" s="8" t="inlineStr">
        <is>
          <t>A multilingual MMLU-style benchmark for knowledge across languages.</t>
        </is>
      </c>
      <c r="F7" s="8" t="inlineStr">
        <is>
          <t>The same big school quiz idea, but not only in English.</t>
        </is>
      </c>
      <c r="G7" s="8" t="inlineStr">
        <is>
          <t>knowledge questions in multiple languages</t>
        </is>
      </c>
      <c r="H7" s="8" t="inlineStr">
        <is>
          <t>Related to GMMLU and MILU; these compare language coverage more than coding power.</t>
        </is>
      </c>
      <c r="I7" s="8" t="inlineStr">
        <is>
          <t>No comparable public score is recorded in this workbook yet. The guide entry is included so you can track it when a model card or leaderboard publishes scores.</t>
        </is>
      </c>
    </row>
    <row r="8">
      <c r="A8" s="8" t="inlineStr">
        <is>
          <t>GMMLU English</t>
        </is>
      </c>
      <c r="B8" s="8" t="inlineStr">
        <is>
          <t>Writing &amp; Knowledge</t>
        </is>
      </c>
      <c r="C8" s="8" t="inlineStr">
        <is>
          <t>score</t>
        </is>
      </c>
      <c r="D8" s="8" t="inlineStr">
        <is>
          <t>2 - Multilingual knowledge</t>
        </is>
      </c>
      <c r="E8" s="8" t="inlineStr">
        <is>
          <t>The English slice of a global MMLU-style benchmark.</t>
        </is>
      </c>
      <c r="F8" s="8" t="inlineStr">
        <is>
          <t>The English version of a world knowledge quiz.</t>
        </is>
      </c>
      <c r="G8" s="8" t="inlineStr">
        <is>
          <t>English-language academic and professional knowledge questions</t>
        </is>
      </c>
      <c r="H8" s="8" t="inlineStr">
        <is>
          <t>Use beside low-resource averages to see whether a model is only strong in major languages.</t>
        </is>
      </c>
      <c r="I8" s="8" t="inlineStr">
        <is>
          <t>No comparable public score is recorded in this workbook yet. The guide entry is included so you can track it when a model card or leaderboard publishes scores.</t>
        </is>
      </c>
    </row>
    <row r="9">
      <c r="A9" s="8" t="inlineStr">
        <is>
          <t>GMMLU low-resource average</t>
        </is>
      </c>
      <c r="B9" s="8" t="inlineStr">
        <is>
          <t>Writing &amp; Knowledge</t>
        </is>
      </c>
      <c r="C9" s="8" t="inlineStr">
        <is>
          <t>score</t>
        </is>
      </c>
      <c r="D9" s="8" t="inlineStr">
        <is>
          <t>2 - Multilingual knowledge</t>
        </is>
      </c>
      <c r="E9" s="8" t="inlineStr">
        <is>
          <t>Average performance across lower-resource languages.</t>
        </is>
      </c>
      <c r="F9" s="8" t="inlineStr">
        <is>
          <t>A test of whether the AI still helps in languages with less training data online.</t>
        </is>
      </c>
      <c r="G9" s="8" t="inlineStr">
        <is>
          <t>knowledge questions in languages with fewer public training examples</t>
        </is>
      </c>
      <c r="H9" s="8" t="inlineStr">
        <is>
          <t>More about language fairness than raw reasoning difficulty.</t>
        </is>
      </c>
      <c r="I9" s="8" t="inlineStr">
        <is>
          <t>No comparable public score is recorded in this workbook yet. The guide entry is included so you can track it when a model card or leaderboard publishes scores.</t>
        </is>
      </c>
    </row>
    <row r="10">
      <c r="A10" s="8" t="inlineStr">
        <is>
          <t>MILU average</t>
        </is>
      </c>
      <c r="B10" s="8" t="inlineStr">
        <is>
          <t>Writing &amp; Knowledge</t>
        </is>
      </c>
      <c r="C10" s="8" t="inlineStr">
        <is>
          <t>score</t>
        </is>
      </c>
      <c r="D10" s="8" t="inlineStr">
        <is>
          <t>2 - Multilingual knowledge</t>
        </is>
      </c>
      <c r="E10" s="8" t="inlineStr">
        <is>
          <t>A multilingual language-understanding average.</t>
        </is>
      </c>
      <c r="F10" s="8" t="inlineStr">
        <is>
          <t>Another world-language report card for general knowledge.</t>
        </is>
      </c>
      <c r="G10" s="8" t="inlineStr">
        <is>
          <t>general knowledge and reasoning across languages</t>
        </is>
      </c>
      <c r="H10" s="8" t="inlineStr">
        <is>
          <t>Similar to GMMLU; compare exact datasets before ranking models.</t>
        </is>
      </c>
      <c r="I10" s="8" t="inlineStr">
        <is>
          <t>No comparable public score is recorded in this workbook yet. The guide entry is included so you can track it when a model card or leaderboard publishes scores.</t>
        </is>
      </c>
    </row>
    <row r="11">
      <c r="A11" s="8" t="inlineStr">
        <is>
          <t>LiveCodeBench v6</t>
        </is>
      </c>
      <c r="B11" s="8" t="inlineStr">
        <is>
          <t>Coding</t>
        </is>
      </c>
      <c r="C11" s="8" t="inlineStr">
        <is>
          <t>% pass</t>
        </is>
      </c>
      <c r="D11" s="8" t="inlineStr">
        <is>
          <t>2 - Current coding</t>
        </is>
      </c>
      <c r="E11" s="8" t="inlineStr">
        <is>
          <t>Fresh programming contest-style tasks designed to reduce memorization.</t>
        </is>
      </c>
      <c r="F11" s="8" t="inlineStr">
        <is>
          <t>A newer coding contest where the model cannot just remember old answers.</t>
        </is>
      </c>
      <c r="G11" s="8" t="inlineStr">
        <is>
          <t>algorithmic coding problems with hidden tests</t>
        </is>
      </c>
      <c r="H11" s="8" t="inlineStr">
        <is>
          <t>More current than HumanEval; not as project-like as SWE-Bench.</t>
        </is>
      </c>
      <c r="I11" s="8" t="inlineStr">
        <is>
          <t>Top available score here: DeepSeek V4-Pro Max at 93.5 % pass. At that level, the model is solving algorithmic coding problems with hidden tests.</t>
        </is>
      </c>
    </row>
    <row r="12">
      <c r="A12" s="8" t="inlineStr">
        <is>
          <t>OJBench Python</t>
        </is>
      </c>
      <c r="B12" s="8" t="inlineStr">
        <is>
          <t>Coding</t>
        </is>
      </c>
      <c r="C12" s="8" t="inlineStr">
        <is>
          <t>% pass</t>
        </is>
      </c>
      <c r="D12" s="8" t="inlineStr">
        <is>
          <t>2 - Current coding</t>
        </is>
      </c>
      <c r="E12" s="8" t="inlineStr">
        <is>
          <t>Online-judge Python programming tasks.</t>
        </is>
      </c>
      <c r="F12" s="8" t="inlineStr">
        <is>
          <t>Coding contest puzzles where the answer must pass lots of hidden cases.</t>
        </is>
      </c>
      <c r="G12" s="8" t="inlineStr">
        <is>
          <t>Python algorithm puzzles with strict pass/fail tests</t>
        </is>
      </c>
      <c r="H12" s="8" t="inlineStr">
        <is>
          <t>Close to LiveCodeBench, but focused on online-judge style Python.</t>
        </is>
      </c>
      <c r="I12" s="8" t="inlineStr">
        <is>
          <t>Top available score here: Kimi K2.6 at 60.6 % pass. At that level, the model is solving Python algorithm puzzles with strict pass/fail tests.</t>
        </is>
      </c>
    </row>
    <row r="13">
      <c r="A13" s="8" t="inlineStr">
        <is>
          <t>SciCode</t>
        </is>
      </c>
      <c r="B13" s="8" t="inlineStr">
        <is>
          <t>Coding</t>
        </is>
      </c>
      <c r="C13" s="8" t="inlineStr">
        <is>
          <t>% score</t>
        </is>
      </c>
      <c r="D13" s="8" t="inlineStr">
        <is>
          <t>3 - Scientific coding</t>
        </is>
      </c>
      <c r="E13" s="8" t="inlineStr">
        <is>
          <t>Scientific programming tasks that need domain formulas and code.</t>
        </is>
      </c>
      <c r="F13" s="8" t="inlineStr">
        <is>
          <t>Write code for science-style problems, not just toy puzzles.</t>
        </is>
      </c>
      <c r="G13" s="8" t="inlineStr">
        <is>
          <t>math/science code that uses formulas, arrays, or simulation logic</t>
        </is>
      </c>
      <c r="H13" s="8" t="inlineStr">
        <is>
          <t>More science-flavored than HumanEval or OJBench.</t>
        </is>
      </c>
      <c r="I13" s="8" t="inlineStr">
        <is>
          <t>Top available score here: Kimi K2.6 at 52.2 % score. At that level, the model is solving math/science code that uses formulas, arrays, or simulation logic.</t>
        </is>
      </c>
    </row>
    <row r="14">
      <c r="A14" s="8" t="inlineStr">
        <is>
          <t>Terminal-Bench 2.0</t>
        </is>
      </c>
      <c r="B14" s="8" t="inlineStr">
        <is>
          <t>Coding</t>
        </is>
      </c>
      <c r="C14" s="8" t="inlineStr">
        <is>
          <t>% accuracy</t>
        </is>
      </c>
      <c r="D14" s="8" t="inlineStr">
        <is>
          <t>3 - Real computer work</t>
        </is>
      </c>
      <c r="E14" s="8" t="inlineStr">
        <is>
          <t>Command-line engineering tasks with files, tools, errors, and iteration.</t>
        </is>
      </c>
      <c r="F14" s="8" t="inlineStr">
        <is>
          <t>The AI uses the computer's command box, reads errors, fixes files, and tries again.</t>
        </is>
      </c>
      <c r="G14" s="8" t="inlineStr">
        <is>
          <t>multi-step terminal workflows like installing, testing, debugging, and file edits</t>
        </is>
      </c>
      <c r="H14" s="8" t="inlineStr">
        <is>
          <t>Tests tool operation; SWE-Bench tests real repository bug fixes.</t>
        </is>
      </c>
      <c r="I14" s="8" t="inlineStr">
        <is>
          <t>Top available score here: ChatGPT 5.5 at 82.7 % accuracy. At that level, the model is solving multi-step terminal workflows like installing, testing, debugging, and file edits.</t>
        </is>
      </c>
    </row>
    <row r="15">
      <c r="A15" s="8" t="inlineStr">
        <is>
          <t>SWE-Bench Verified</t>
        </is>
      </c>
      <c r="B15" s="8" t="inlineStr">
        <is>
          <t>Coding</t>
        </is>
      </c>
      <c r="C15" s="8" t="inlineStr">
        <is>
          <t>% resolved</t>
        </is>
      </c>
      <c r="D15" s="8" t="inlineStr">
        <is>
          <t>3 - Real software fixes</t>
        </is>
      </c>
      <c r="E15" s="8" t="inlineStr">
        <is>
          <t>Human-checked GitHub software issues, usually cleaner than the full benchmark.</t>
        </is>
      </c>
      <c r="F15" s="8" t="inlineStr">
        <is>
          <t>A trusted set of broken software tasks where humans checked the task is fair.</t>
        </is>
      </c>
      <c r="G15" s="8" t="inlineStr">
        <is>
          <t>real bug fixes where the model must patch code and pass tests</t>
        </is>
      </c>
      <c r="H15" s="8" t="inlineStr">
        <is>
          <t>Easier/cleaner than SWE-Bench Pro; less broad than Multilingual.</t>
        </is>
      </c>
      <c r="I15" s="8" t="inlineStr">
        <is>
          <t>Top available score here: Claude Opus 4.7 at 87.6 % resolved. At that level, the model is solving real bug fixes where the model must patch code and pass tests.</t>
        </is>
      </c>
    </row>
    <row r="16">
      <c r="A16" s="8" t="inlineStr">
        <is>
          <t>SWE-Bench Pro</t>
        </is>
      </c>
      <c r="B16" s="8" t="inlineStr">
        <is>
          <t>Coding</t>
        </is>
      </c>
      <c r="C16" s="8" t="inlineStr">
        <is>
          <t>% resolved</t>
        </is>
      </c>
      <c r="D16" s="8" t="inlineStr">
        <is>
          <t>4 - Hard software fixes</t>
        </is>
      </c>
      <c r="E16" s="8" t="inlineStr">
        <is>
          <t>A harder real-repository software repair benchmark.</t>
        </is>
      </c>
      <c r="F16" s="8" t="inlineStr">
        <is>
          <t>A tough broken app: find the bug, edit the right files, and prove the fix works.</t>
        </is>
      </c>
      <c r="G16" s="8" t="inlineStr">
        <is>
          <t>messy GitHub issues needing code reading, reasoning, and tests</t>
        </is>
      </c>
      <c r="H16" s="8" t="inlineStr">
        <is>
          <t>Harder than Verified; more directly comparable across frontier coding agents.</t>
        </is>
      </c>
      <c r="I16" s="8" t="inlineStr">
        <is>
          <t>Top available score here: Claude Opus 4.7 at 64.3 % resolved. At that level, the model is solving messy GitHub issues needing code reading, reasoning, and tests.</t>
        </is>
      </c>
    </row>
    <row r="17">
      <c r="A17" s="8" t="inlineStr">
        <is>
          <t>SWE-Bench Multilingual</t>
        </is>
      </c>
      <c r="B17" s="8" t="inlineStr">
        <is>
          <t>Coding</t>
        </is>
      </c>
      <c r="C17" s="8" t="inlineStr">
        <is>
          <t>% resolved</t>
        </is>
      </c>
      <c r="D17" s="8" t="inlineStr">
        <is>
          <t>4 - Multilingual software</t>
        </is>
      </c>
      <c r="E17" s="8" t="inlineStr">
        <is>
          <t>SWE-style tasks across programming languages.</t>
        </is>
      </c>
      <c r="F17" s="8" t="inlineStr">
        <is>
          <t>Like fixing software, but the project might not be Python.</t>
        </is>
      </c>
      <c r="G17" s="8" t="inlineStr">
        <is>
          <t>bugs in JavaScript, Java, Go, Rust, or other language projects</t>
        </is>
      </c>
      <c r="H17" s="8" t="inlineStr">
        <is>
          <t>Different from language benchmarks: this is programming-language diversity.</t>
        </is>
      </c>
      <c r="I17" s="8" t="inlineStr">
        <is>
          <t>Top available score here: Kimi K2.6 at 76.7 % resolved. At that level, the model is solving bugs in JavaScript, Java, Go, Rust, or other language projects.</t>
        </is>
      </c>
    </row>
    <row r="18">
      <c r="A18" s="8" t="inlineStr">
        <is>
          <t>Multi SWE Bench</t>
        </is>
      </c>
      <c r="B18" s="8" t="inlineStr">
        <is>
          <t>Coding</t>
        </is>
      </c>
      <c r="C18" s="8" t="inlineStr">
        <is>
          <t>% resolved</t>
        </is>
      </c>
      <c r="D18" s="8" t="inlineStr">
        <is>
          <t>4 - Multi-repo software</t>
        </is>
      </c>
      <c r="E18" s="8" t="inlineStr">
        <is>
          <t>Software engineering tasks that can span larger or multiple repositories.</t>
        </is>
      </c>
      <c r="F18" s="8" t="inlineStr">
        <is>
          <t>The AI has to understand more than one folder or project area.</t>
        </is>
      </c>
      <c r="G18" s="8" t="inlineStr">
        <is>
          <t>repository-level changes that need broader context</t>
        </is>
      </c>
      <c r="H18" s="8" t="inlineStr">
        <is>
          <t>Close to SWE-Bench, but more about wider codebase navigation.</t>
        </is>
      </c>
      <c r="I18" s="8" t="inlineStr">
        <is>
          <t>Top available score here: MiniMax M2.7 at 52.7 % resolved. At that level, the model is solving repository-level changes that need broader context.</t>
        </is>
      </c>
    </row>
    <row r="19">
      <c r="A19" s="8" t="inlineStr">
        <is>
          <t>SWE-Lancer IC Diamond</t>
        </is>
      </c>
      <c r="B19" s="8" t="inlineStr">
        <is>
          <t>Coding</t>
        </is>
      </c>
      <c r="C19" s="8" t="inlineStr">
        <is>
          <t>% score</t>
        </is>
      </c>
      <c r="D19" s="8" t="inlineStr">
        <is>
          <t>4 - Freelance software work</t>
        </is>
      </c>
      <c r="E19" s="8" t="inlineStr">
        <is>
          <t>Hard software tasks modeled after independent-contractor work.</t>
        </is>
      </c>
      <c r="F19" s="8" t="inlineStr">
        <is>
          <t>A freelance coding job where the final result must satisfy a client-style task.</t>
        </is>
      </c>
      <c r="G19" s="8" t="inlineStr">
        <is>
          <t>larger practical coding jobs with project constraints</t>
        </is>
      </c>
      <c r="H19" s="8" t="inlineStr">
        <is>
          <t>More work-like than HumanEval; related to SWE-Bench but framed as paid tasks.</t>
        </is>
      </c>
      <c r="I19" s="8" t="inlineStr">
        <is>
          <t>Top available score here: ChatGPT 5.3 Codex at 81.4 % score. At that level, the model is solving larger practical coding jobs with project constraints.</t>
        </is>
      </c>
    </row>
    <row r="20">
      <c r="A20" s="8" t="inlineStr">
        <is>
          <t>NL2Repo</t>
        </is>
      </c>
      <c r="B20" s="8" t="inlineStr">
        <is>
          <t>Coding</t>
        </is>
      </c>
      <c r="C20" s="8" t="inlineStr">
        <is>
          <t>% score</t>
        </is>
      </c>
      <c r="D20" s="8" t="inlineStr">
        <is>
          <t>4 - Build from request</t>
        </is>
      </c>
      <c r="E20" s="8" t="inlineStr">
        <is>
          <t>Turns natural-language requirements into repository-level code changes.</t>
        </is>
      </c>
      <c r="F20" s="8" t="inlineStr">
        <is>
          <t>Someone describes what they want, and the AI has to change the whole project.</t>
        </is>
      </c>
      <c r="G20" s="8" t="inlineStr">
        <is>
          <t>feature work across files from a plain-English request</t>
        </is>
      </c>
      <c r="H20" s="8" t="inlineStr">
        <is>
          <t>More creation-oriented than SWE-Bench, which starts with known issues.</t>
        </is>
      </c>
      <c r="I20" s="8" t="inlineStr">
        <is>
          <t>Top available score here: GLM-5.1 at 42.7 % score. At that level, the model is solving feature work across files from a plain-English request.</t>
        </is>
      </c>
    </row>
    <row r="21">
      <c r="A21" s="8" t="inlineStr">
        <is>
          <t>VIBE-Pro</t>
        </is>
      </c>
      <c r="B21" s="8" t="inlineStr">
        <is>
          <t>Coding</t>
        </is>
      </c>
      <c r="C21" s="8" t="inlineStr">
        <is>
          <t>% score</t>
        </is>
      </c>
      <c r="D21" s="8" t="inlineStr">
        <is>
          <t>4 - Full project delivery</t>
        </is>
      </c>
      <c r="E21" s="8" t="inlineStr">
        <is>
          <t>End-to-end project delivery or app-building benchmark.</t>
        </is>
      </c>
      <c r="F21" s="8" t="inlineStr">
        <is>
          <t>Can the AI build the whole little product, not just solve one puzzle?</t>
        </is>
      </c>
      <c r="G21" s="8" t="inlineStr">
        <is>
          <t>multi-file implementation tasks with polish and working behavior</t>
        </is>
      </c>
      <c r="H21" s="8" t="inlineStr">
        <is>
          <t>Broader than NL2Repo; more product-like than a coding contest.</t>
        </is>
      </c>
      <c r="I21" s="8" t="inlineStr">
        <is>
          <t>Top available score here: MiniMax M2.7 at 55.6 % score. At that level, the model is solving multi-file implementation tasks with polish and working behavior.</t>
        </is>
      </c>
    </row>
    <row r="22">
      <c r="A22" s="8" t="inlineStr">
        <is>
          <t>Codeforces</t>
        </is>
      </c>
      <c r="B22" s="8" t="inlineStr">
        <is>
          <t>Math &amp; Reasoning</t>
        </is>
      </c>
      <c r="C22" s="8" t="inlineStr">
        <is>
          <t>rating</t>
        </is>
      </c>
      <c r="D22" s="8" t="inlineStr">
        <is>
          <t>4 - Competitive programming</t>
        </is>
      </c>
      <c r="E22" s="8" t="inlineStr">
        <is>
          <t>A competitive-programming rating based on algorithmic problem solving.</t>
        </is>
      </c>
      <c r="F22" s="8" t="inlineStr">
        <is>
          <t>Like a chess rating, but for programming contests.</t>
        </is>
      </c>
      <c r="G22" s="8" t="inlineStr">
        <is>
          <t>advanced algorithms under contest-style constraints</t>
        </is>
      </c>
      <c r="H22" s="8" t="inlineStr">
        <is>
          <t>Comparable to LiveCodeBench only loosely; rating and percent scores are different.</t>
        </is>
      </c>
      <c r="I22" s="8" t="inlineStr">
        <is>
          <t>Top available score here: DeepSeek V4-Pro Max at 3206 rating. At that level, the model is solving advanced algorithms under contest-style constraints.</t>
        </is>
      </c>
    </row>
    <row r="23">
      <c r="A23" s="8" t="inlineStr">
        <is>
          <t>GPQA-Diamond</t>
        </is>
      </c>
      <c r="B23" s="8" t="inlineStr">
        <is>
          <t>Math &amp; Reasoning</t>
        </is>
      </c>
      <c r="C23" s="8" t="inlineStr">
        <is>
          <t>% accuracy</t>
        </is>
      </c>
      <c r="D23" s="8" t="inlineStr">
        <is>
          <t>4 - Expert science</t>
        </is>
      </c>
      <c r="E23" s="8" t="inlineStr">
        <is>
          <t>Very hard graduate-level science questions.</t>
        </is>
      </c>
      <c r="F23" s="8" t="inlineStr">
        <is>
          <t>Science questions where even smart adults may need the right specialty.</t>
        </is>
      </c>
      <c r="G23" s="8" t="inlineStr">
        <is>
          <t>physics, chemistry, and biology questions that punish guessing</t>
        </is>
      </c>
      <c r="H23" s="8" t="inlineStr">
        <is>
          <t>Narrower and deeper than MMLU-Pro; less math-contest-specific than AIME.</t>
        </is>
      </c>
      <c r="I23" s="8" t="inlineStr">
        <is>
          <t>Top available score here: Claude Opus 4.7 at 94.2 % accuracy. At that level, the model is solving physics, chemistry, and biology questions that punish guessing.</t>
        </is>
      </c>
    </row>
    <row r="24">
      <c r="A24" s="8" t="inlineStr">
        <is>
          <t>AIME 2026</t>
        </is>
      </c>
      <c r="B24" s="8" t="inlineStr">
        <is>
          <t>Math &amp; Reasoning</t>
        </is>
      </c>
      <c r="C24" s="8" t="inlineStr">
        <is>
          <t>% accuracy</t>
        </is>
      </c>
      <c r="D24" s="8" t="inlineStr">
        <is>
          <t>4 - Elite school math</t>
        </is>
      </c>
      <c r="E24" s="8" t="inlineStr">
        <is>
          <t>American Invitational Mathematics Examination problems.</t>
        </is>
      </c>
      <c r="F24" s="8" t="inlineStr">
        <is>
          <t>Very hard high-school math contest questions with exact numeric answers.</t>
        </is>
      </c>
      <c r="G24" s="8" t="inlineStr">
        <is>
          <t>number theory, geometry, algebra, and counting puzzles</t>
        </is>
      </c>
      <c r="H24" s="8" t="inlineStr">
        <is>
          <t>Harder than MATH; usually easier than HMMT/IMO and FrontierMath.</t>
        </is>
      </c>
      <c r="I24" s="8" t="inlineStr">
        <is>
          <t>Top available score here: Kimi K2.6 at 96.4 % accuracy. At that level, the model is solving number theory, geometry, algebra, and counting puzzles.</t>
        </is>
      </c>
    </row>
    <row r="25">
      <c r="A25" s="8" t="inlineStr">
        <is>
          <t>HMMT 2025 Nov</t>
        </is>
      </c>
      <c r="B25" s="8" t="inlineStr">
        <is>
          <t>Math &amp; Reasoning</t>
        </is>
      </c>
      <c r="C25" s="8" t="inlineStr">
        <is>
          <t>% pass</t>
        </is>
      </c>
      <c r="D25" s="8" t="inlineStr">
        <is>
          <t>5 - Elite contest math</t>
        </is>
      </c>
      <c r="E25" s="8" t="inlineStr">
        <is>
          <t>Harvard-MIT math tournament problems.</t>
        </is>
      </c>
      <c r="F25" s="8" t="inlineStr">
        <is>
          <t>A top school math team contest with clever, compressed puzzles.</t>
        </is>
      </c>
      <c r="G25" s="8" t="inlineStr">
        <is>
          <t>high-end contest math with several clever insights</t>
        </is>
      </c>
      <c r="H25" s="8" t="inlineStr">
        <is>
          <t>Similar to HMMT 2026 Feb; both sit above AIME-style difficulty.</t>
        </is>
      </c>
      <c r="I25" s="8" t="inlineStr">
        <is>
          <t>Top available score here: GLM-5.1 at 94 % pass. At that level, the model is solving high-end contest math with several clever insights.</t>
        </is>
      </c>
    </row>
    <row r="26">
      <c r="A26" s="8" t="inlineStr">
        <is>
          <t>HMMT 2026 Feb</t>
        </is>
      </c>
      <c r="B26" s="8" t="inlineStr">
        <is>
          <t>Math &amp; Reasoning</t>
        </is>
      </c>
      <c r="C26" s="8" t="inlineStr">
        <is>
          <t>% pass</t>
        </is>
      </c>
      <c r="D26" s="8" t="inlineStr">
        <is>
          <t>5 - Elite contest math</t>
        </is>
      </c>
      <c r="E26" s="8" t="inlineStr">
        <is>
          <t>Harvard-MIT math tournament problems from February 2026.</t>
        </is>
      </c>
      <c r="F26" s="8" t="inlineStr">
        <is>
          <t>A very hard team math contest for students who love puzzles.</t>
        </is>
      </c>
      <c r="G26" s="8" t="inlineStr">
        <is>
          <t>high-end contest math with tricky multi-step solutions</t>
        </is>
      </c>
      <c r="H26" s="8" t="inlineStr">
        <is>
          <t>Harder than AIME; less open-ended than IMO-style answer benchmarks.</t>
        </is>
      </c>
      <c r="I26" s="8" t="inlineStr">
        <is>
          <t>Top available score here: DeepSeek V4-Pro Max at 95.2 % pass. At that level, the model is solving high-end contest math with tricky multi-step solutions.</t>
        </is>
      </c>
    </row>
    <row r="27">
      <c r="A27" s="8" t="inlineStr">
        <is>
          <t>IMO-AnswerBench</t>
        </is>
      </c>
      <c r="B27" s="8" t="inlineStr">
        <is>
          <t>Math &amp; Reasoning</t>
        </is>
      </c>
      <c r="C27" s="8" t="inlineStr">
        <is>
          <t>% pass</t>
        </is>
      </c>
      <c r="D27" s="8" t="inlineStr">
        <is>
          <t>5 - Olympiad math</t>
        </is>
      </c>
      <c r="E27" s="8" t="inlineStr">
        <is>
          <t>Olympiad-style math answer evaluation.</t>
        </is>
      </c>
      <c r="F27" s="8" t="inlineStr">
        <is>
          <t>The AI faces math problems closer to world-championship puzzle level.</t>
        </is>
      </c>
      <c r="G27" s="8" t="inlineStr">
        <is>
          <t>proof-like olympiad math where exact reasoning matters</t>
        </is>
      </c>
      <c r="H27" s="8" t="inlineStr">
        <is>
          <t>More proof/olympiad flavored than AIME or HMMT.</t>
        </is>
      </c>
      <c r="I27" s="8" t="inlineStr">
        <is>
          <t>Top available score here: DeepSeek V4-Pro Max at 89.8 % pass. At that level, the model is solving proof-like olympiad math where exact reasoning matters.</t>
        </is>
      </c>
    </row>
    <row r="28">
      <c r="A28" s="8" t="inlineStr">
        <is>
          <t>FrontierMath Tier 1-3</t>
        </is>
      </c>
      <c r="B28" s="8" t="inlineStr">
        <is>
          <t>Math &amp; Reasoning</t>
        </is>
      </c>
      <c r="C28" s="8" t="inlineStr">
        <is>
          <t>% pass</t>
        </is>
      </c>
      <c r="D28" s="8" t="inlineStr">
        <is>
          <t>6 - Frontier math</t>
        </is>
      </c>
      <c r="E28" s="8" t="inlineStr">
        <is>
          <t>Very hard frontier math problems where current models still miss many.</t>
        </is>
      </c>
      <c r="F28" s="8" t="inlineStr">
        <is>
          <t>Math puzzles so hard that even top AIs do not reliably solve them.</t>
        </is>
      </c>
      <c r="G28" s="8" t="inlineStr">
        <is>
          <t>research-flavored math requiring deep chains of reasoning</t>
        </is>
      </c>
      <c r="H28" s="8" t="inlineStr">
        <is>
          <t>Harder than AIME/HMMT/IMO-style answer sets.</t>
        </is>
      </c>
      <c r="I28" s="8" t="inlineStr">
        <is>
          <t>Top available score here: ChatGPT 5.5 at 51.7 % pass. At that level, the model is solving research-flavored math requiring deep chains of reasoning.</t>
        </is>
      </c>
    </row>
    <row r="29">
      <c r="A29" s="8" t="inlineStr">
        <is>
          <t>FrontierMath Tier 4</t>
        </is>
      </c>
      <c r="B29" s="8" t="inlineStr">
        <is>
          <t>Math &amp; Reasoning</t>
        </is>
      </c>
      <c r="C29" s="8" t="inlineStr">
        <is>
          <t>% pass</t>
        </is>
      </c>
      <c r="D29" s="8" t="inlineStr">
        <is>
          <t>6 - Frontier math</t>
        </is>
      </c>
      <c r="E29" s="8" t="inlineStr">
        <is>
          <t>The harder FrontierMath tier.</t>
        </is>
      </c>
      <c r="F29" s="8" t="inlineStr">
        <is>
          <t>The boss level of the math ladder in this report.</t>
        </is>
      </c>
      <c r="G29" s="8" t="inlineStr">
        <is>
          <t>the most difficult frontier math items in the source set</t>
        </is>
      </c>
      <c r="H29" s="8" t="inlineStr">
        <is>
          <t>Harder than FrontierMath Tier 1-3.</t>
        </is>
      </c>
      <c r="I29" s="8" t="inlineStr">
        <is>
          <t>Top available score here: ChatGPT 5.5 at 35.4 % pass. At that level, the model is solving the most difficult frontier math items in the source set.</t>
        </is>
      </c>
    </row>
    <row r="30">
      <c r="A30" s="8" t="inlineStr">
        <is>
          <t>HLE</t>
        </is>
      </c>
      <c r="B30" s="8" t="inlineStr">
        <is>
          <t>Math &amp; Reasoning</t>
        </is>
      </c>
      <c r="C30" s="8" t="inlineStr">
        <is>
          <t>% pass</t>
        </is>
      </c>
      <c r="D30" s="8" t="inlineStr">
        <is>
          <t>6 - Broad frontier exam</t>
        </is>
      </c>
      <c r="E30" s="8" t="inlineStr">
        <is>
          <t>Humanity's Last Exam: broad, very difficult knowledge and reasoning.</t>
        </is>
      </c>
      <c r="F30" s="8" t="inlineStr">
        <is>
          <t>A giant final exam with questions from many expert fields.</t>
        </is>
      </c>
      <c r="G30" s="8" t="inlineStr">
        <is>
          <t>hard science, humanities, and reasoning questions beyond normal exams</t>
        </is>
      </c>
      <c r="H30" s="8" t="inlineStr">
        <is>
          <t>Broader than GPQA; not limited to math.</t>
        </is>
      </c>
      <c r="I30" s="8" t="inlineStr">
        <is>
          <t>Top available score here: DeepSeek V4-Pro Max at 37.7 % pass. At that level, the model is solving hard science, humanities, and reasoning questions beyond normal exams.</t>
        </is>
      </c>
    </row>
    <row r="31">
      <c r="A31" s="8" t="inlineStr">
        <is>
          <t>HLE w/ tools</t>
        </is>
      </c>
      <c r="B31" s="8" t="inlineStr">
        <is>
          <t>Agentic &amp; Other</t>
        </is>
      </c>
      <c r="C31" s="8" t="inlineStr">
        <is>
          <t>% pass</t>
        </is>
      </c>
      <c r="D31" s="8" t="inlineStr">
        <is>
          <t>6 - Broad frontier with tools</t>
        </is>
      </c>
      <c r="E31" s="8" t="inlineStr">
        <is>
          <t>Humanity's Last Exam with allowed external tools.</t>
        </is>
      </c>
      <c r="F31" s="8" t="inlineStr">
        <is>
          <t>The same giant exam, but the AI can use tools like search or code.</t>
        </is>
      </c>
      <c r="G31" s="8" t="inlineStr">
        <is>
          <t>hard expert questions plus tool choice and research</t>
        </is>
      </c>
      <c r="H31" s="8" t="inlineStr">
        <is>
          <t>Tool access makes it different from plain HLE.</t>
        </is>
      </c>
      <c r="I31" s="8" t="inlineStr">
        <is>
          <t>Top available score here: Claude Opus 4.7 at 54.7 % pass. At that level, the model is solving hard expert questions plus tool choice and research.</t>
        </is>
      </c>
    </row>
    <row r="32">
      <c r="A32" s="8" t="inlineStr">
        <is>
          <t>ARC-AGI-2 Verified</t>
        </is>
      </c>
      <c r="B32" s="8" t="inlineStr">
        <is>
          <t>Agentic &amp; Other</t>
        </is>
      </c>
      <c r="C32" s="8" t="inlineStr">
        <is>
          <t>score</t>
        </is>
      </c>
      <c r="D32" s="8" t="inlineStr">
        <is>
          <t>6 - Abstract reasoning</t>
        </is>
      </c>
      <c r="E32" s="8" t="inlineStr">
        <is>
          <t>A verified version of ARC-AGI-2, focused on abstract pattern reasoning.</t>
        </is>
      </c>
      <c r="F32" s="8" t="inlineStr">
        <is>
          <t>Colored-grid puzzles where the AI must notice the hidden rule from examples.</t>
        </is>
      </c>
      <c r="G32" s="8" t="inlineStr">
        <is>
          <t>visual pattern puzzles that demand flexible reasoning</t>
        </is>
      </c>
      <c r="H32" s="8" t="inlineStr">
        <is>
          <t>Different from knowledge tests: memorized facts do not help much.</t>
        </is>
      </c>
      <c r="I32" s="8" t="inlineStr">
        <is>
          <t>No comparable public score is recorded in this workbook yet. The guide entry is included so you can track it when a model card or leaderboard publishes scores.</t>
        </is>
      </c>
    </row>
    <row r="33">
      <c r="A33" s="8" t="inlineStr">
        <is>
          <t>GDPval</t>
        </is>
      </c>
      <c r="B33" s="8" t="inlineStr">
        <is>
          <t>Writing &amp; Knowledge</t>
        </is>
      </c>
      <c r="C33" s="8" t="inlineStr">
        <is>
          <t>% wins or ties</t>
        </is>
      </c>
      <c r="D33" s="8" t="inlineStr">
        <is>
          <t>3 - Professional work</t>
        </is>
      </c>
      <c r="E33" s="8" t="inlineStr">
        <is>
          <t>Professional knowledge-work tasks such as documents, spreadsheets, analysis, and reports.</t>
        </is>
      </c>
      <c r="F33" s="8" t="inlineStr">
        <is>
          <t>Can the AI do office homework well enough that a professional would accept it?</t>
        </is>
      </c>
      <c r="G33" s="8" t="inlineStr">
        <is>
          <t>reports, spreadsheets, legal/finance-style summaries, and analysis</t>
        </is>
      </c>
      <c r="H33" s="8" t="inlineStr">
        <is>
          <t>GDPval is usually percent wins/ties; GDPval-AA uses Elo-style ranking.</t>
        </is>
      </c>
      <c r="I33" s="8" t="inlineStr">
        <is>
          <t>Top available score here: ChatGPT 5.5 at 84.9 % wins or ties. At that level, the model is solving reports, spreadsheets, legal/finance-style summaries, and analysis.</t>
        </is>
      </c>
    </row>
    <row r="34">
      <c r="A34" s="8" t="inlineStr">
        <is>
          <t>GDPval-AA</t>
        </is>
      </c>
      <c r="B34" s="8" t="inlineStr">
        <is>
          <t>Writing &amp; Knowledge</t>
        </is>
      </c>
      <c r="C34" s="8" t="inlineStr">
        <is>
          <t>Elo</t>
        </is>
      </c>
      <c r="D34" s="8" t="inlineStr">
        <is>
          <t>3 - Professional work</t>
        </is>
      </c>
      <c r="E34" s="8" t="inlineStr">
        <is>
          <t>An Artificial Analysis professional-task benchmark using Elo-style scores.</t>
        </is>
      </c>
      <c r="F34" s="8" t="inlineStr">
        <is>
          <t>A league table for office-work ability.</t>
        </is>
      </c>
      <c r="G34" s="8" t="inlineStr">
        <is>
          <t>document, spreadsheet, finance, legal, and business-analysis tasks</t>
        </is>
      </c>
      <c r="H34" s="8" t="inlineStr">
        <is>
          <t>Related to GDPval but the scoring format is different.</t>
        </is>
      </c>
      <c r="I34" s="8" t="inlineStr">
        <is>
          <t>Top available score here: Claude Opus 4.7 at 1753 Elo. At that level, the model is solving document, spreadsheet, finance, legal, and business-analysis tasks.</t>
        </is>
      </c>
    </row>
    <row r="35">
      <c r="A35" s="8" t="inlineStr">
        <is>
          <t>Finance Agent</t>
        </is>
      </c>
      <c r="B35" s="8" t="inlineStr">
        <is>
          <t>Writing &amp; Knowledge</t>
        </is>
      </c>
      <c r="C35" s="8" t="inlineStr">
        <is>
          <t>score</t>
        </is>
      </c>
      <c r="D35" s="8" t="inlineStr">
        <is>
          <t>4 - Finance work</t>
        </is>
      </c>
      <c r="E35" s="8" t="inlineStr">
        <is>
          <t>Finance-specific agent tasks: analysis, calculations, filings, and tool use.</t>
        </is>
      </c>
      <c r="F35" s="8" t="inlineStr">
        <is>
          <t>A money-and-company homework test for the AI.</t>
        </is>
      </c>
      <c r="G35" s="8" t="inlineStr">
        <is>
          <t>financial analysis workflows, tables, and source-grounded answers</t>
        </is>
      </c>
      <c r="H35" s="8" t="inlineStr">
        <is>
          <t>Narrower than GDPval; more domain-specific.</t>
        </is>
      </c>
      <c r="I35" s="8" t="inlineStr">
        <is>
          <t>No comparable public score is recorded in this workbook yet. The guide entry is included so you can track it when a model card or leaderboard publishes scores.</t>
        </is>
      </c>
    </row>
    <row r="36">
      <c r="A36" s="8" t="inlineStr">
        <is>
          <t>MMMU-Pro</t>
        </is>
      </c>
      <c r="B36" s="8" t="inlineStr">
        <is>
          <t>Writing &amp; Knowledge</t>
        </is>
      </c>
      <c r="C36" s="8" t="inlineStr">
        <is>
          <t>score</t>
        </is>
      </c>
      <c r="D36" s="8" t="inlineStr">
        <is>
          <t>5 - Multimodal expert</t>
        </is>
      </c>
      <c r="E36" s="8" t="inlineStr">
        <is>
          <t>A harder multimodal benchmark using images plus text across expert subjects.</t>
        </is>
      </c>
      <c r="F36" s="8" t="inlineStr">
        <is>
          <t>The AI must read pictures, diagrams, charts, and questions together.</t>
        </is>
      </c>
      <c r="G36" s="8" t="inlineStr">
        <is>
          <t>diagram-heavy science, engineering, and exam questions</t>
        </is>
      </c>
      <c r="H36" s="8" t="inlineStr">
        <is>
          <t>Harder than plain MMMU/MMMLU because vision and expert reasoning combine.</t>
        </is>
      </c>
      <c r="I36" s="8" t="inlineStr">
        <is>
          <t>No comparable public score is recorded in this workbook yet. The guide entry is included so you can track it when a model card or leaderboard publishes scores.</t>
        </is>
      </c>
    </row>
    <row r="37">
      <c r="A37" s="8" t="inlineStr">
        <is>
          <t>MMMU-Pro w/ tools</t>
        </is>
      </c>
      <c r="B37" s="8" t="inlineStr">
        <is>
          <t>Agentic &amp; Other</t>
        </is>
      </c>
      <c r="C37" s="8" t="inlineStr">
        <is>
          <t>score</t>
        </is>
      </c>
      <c r="D37" s="8" t="inlineStr">
        <is>
          <t>5 - Multimodal with tools</t>
        </is>
      </c>
      <c r="E37" s="8" t="inlineStr">
        <is>
          <t>MMMU-Pro with external tools allowed.</t>
        </is>
      </c>
      <c r="F37" s="8" t="inlineStr">
        <is>
          <t>The AI can use tools while solving picture-and-text expert questions.</t>
        </is>
      </c>
      <c r="G37" s="8" t="inlineStr">
        <is>
          <t>multimodal exam problems plus tool-assisted research or calculation</t>
        </is>
      </c>
      <c r="H37" s="8" t="inlineStr">
        <is>
          <t>Different from MMMU-Pro because tool choice becomes part of the test.</t>
        </is>
      </c>
      <c r="I37" s="8" t="inlineStr">
        <is>
          <t>No comparable public score is recorded in this workbook yet. The guide entry is included so you can track it when a model card or leaderboard publishes scores.</t>
        </is>
      </c>
    </row>
    <row r="38">
      <c r="A38" s="8" t="inlineStr">
        <is>
          <t>OSWorld-Verified</t>
        </is>
      </c>
      <c r="B38" s="8" t="inlineStr">
        <is>
          <t>Agentic &amp; Other</t>
        </is>
      </c>
      <c r="C38" s="8" t="inlineStr">
        <is>
          <t>% success</t>
        </is>
      </c>
      <c r="D38" s="8" t="inlineStr">
        <is>
          <t>3 - Desktop operation</t>
        </is>
      </c>
      <c r="E38" s="8" t="inlineStr">
        <is>
          <t>Real desktop-computer tasks through a visual interface.</t>
        </is>
      </c>
      <c r="F38" s="8" t="inlineStr">
        <is>
          <t>The AI clicks, types, reads the screen, and completes computer tasks.</t>
        </is>
      </c>
      <c r="G38" s="8" t="inlineStr">
        <is>
          <t>spreadsheet, browser, and app workflows on a computer screen</t>
        </is>
      </c>
      <c r="H38" s="8" t="inlineStr">
        <is>
          <t>More UI-focused than Terminal-Bench, which is command-line focused.</t>
        </is>
      </c>
      <c r="I38" s="8" t="inlineStr">
        <is>
          <t>Top available score here: ChatGPT 5.5 at 78.7 % success. At that level, the model is solving spreadsheet, browser, and app workflows on a computer screen.</t>
        </is>
      </c>
    </row>
    <row r="39">
      <c r="A39" s="8" t="inlineStr">
        <is>
          <t>BrowseComp</t>
        </is>
      </c>
      <c r="B39" s="8" t="inlineStr">
        <is>
          <t>Agentic &amp; Other</t>
        </is>
      </c>
      <c r="C39" s="8" t="inlineStr">
        <is>
          <t>% pass</t>
        </is>
      </c>
      <c r="D39" s="8" t="inlineStr">
        <is>
          <t>4 - Web research</t>
        </is>
      </c>
      <c r="E39" s="8" t="inlineStr">
        <is>
          <t>Difficult web browsing and retrieval tasks.</t>
        </is>
      </c>
      <c r="F39" s="8" t="inlineStr">
        <is>
          <t>An internet treasure hunt where the answer is hidden behind several clues.</t>
        </is>
      </c>
      <c r="G39" s="8" t="inlineStr">
        <is>
          <t>web research questions needing persistence and source reading</t>
        </is>
      </c>
      <c r="H39" s="8" t="inlineStr">
        <is>
          <t>More search-heavy than general knowledge tests.</t>
        </is>
      </c>
      <c r="I39" s="8" t="inlineStr">
        <is>
          <t>Top available score here: ChatGPT 5.5 at 84.4 % pass. At that level, the model is solving web research questions needing persistence and source reading.</t>
        </is>
      </c>
    </row>
    <row r="40">
      <c r="A40" s="8" t="inlineStr">
        <is>
          <t>BrowseComp w/ context management</t>
        </is>
      </c>
      <c r="B40" s="8" t="inlineStr">
        <is>
          <t>Agentic &amp; Other</t>
        </is>
      </c>
      <c r="C40" s="8" t="inlineStr">
        <is>
          <t>% pass</t>
        </is>
      </c>
      <c r="D40" s="8" t="inlineStr">
        <is>
          <t>4 - Web research</t>
        </is>
      </c>
      <c r="E40" s="8" t="inlineStr">
        <is>
          <t>BrowseComp with explicit long-context management.</t>
        </is>
      </c>
      <c r="F40" s="8" t="inlineStr">
        <is>
          <t>The AI has to keep track of what it found without forgetting important clues.</t>
        </is>
      </c>
      <c r="G40" s="8" t="inlineStr">
        <is>
          <t>long web investigations with many pieces of evidence</t>
        </is>
      </c>
      <c r="H40" s="8" t="inlineStr">
        <is>
          <t>Harder operationally than plain BrowseComp.</t>
        </is>
      </c>
      <c r="I40" s="8" t="inlineStr">
        <is>
          <t>Top available score here: GLM-5.1 at 79.3 % pass. At that level, the model is solving long web investigations with many pieces of evidence.</t>
        </is>
      </c>
    </row>
    <row r="41">
      <c r="A41" s="8" t="inlineStr">
        <is>
          <t>DeepSearchQA</t>
        </is>
      </c>
      <c r="B41" s="8" t="inlineStr">
        <is>
          <t>Agentic &amp; Other</t>
        </is>
      </c>
      <c r="C41" s="8" t="inlineStr">
        <is>
          <t>F1</t>
        </is>
      </c>
      <c r="D41" s="8" t="inlineStr">
        <is>
          <t>4 - Web research</t>
        </is>
      </c>
      <c r="E41" s="8" t="inlineStr">
        <is>
          <t>Search-heavy question answering scored for answer quality.</t>
        </is>
      </c>
      <c r="F41" s="8" t="inlineStr">
        <is>
          <t>The AI searches and returns the right answer, not just a nice-looking paragraph.</t>
        </is>
      </c>
      <c r="G41" s="8" t="inlineStr">
        <is>
          <t>multi-hop research answers from web evidence</t>
        </is>
      </c>
      <c r="H41" s="8" t="inlineStr">
        <is>
          <t>Similar to BrowseComp but framed as QA quality.</t>
        </is>
      </c>
      <c r="I41" s="8" t="inlineStr">
        <is>
          <t>Top available score here: Kimi K2.6 at 92.5 F1. At that level, the model is solving multi-hop research answers from web evidence.</t>
        </is>
      </c>
    </row>
    <row r="42">
      <c r="A42" s="8" t="inlineStr">
        <is>
          <t>Toolathlon</t>
        </is>
      </c>
      <c r="B42" s="8" t="inlineStr">
        <is>
          <t>Agentic &amp; Other</t>
        </is>
      </c>
      <c r="C42" s="8" t="inlineStr">
        <is>
          <t>% pass</t>
        </is>
      </c>
      <c r="D42" s="8" t="inlineStr">
        <is>
          <t>4 - Tool use</t>
        </is>
      </c>
      <c r="E42" s="8" t="inlineStr">
        <is>
          <t>A benchmark for choosing and using tools correctly.</t>
        </is>
      </c>
      <c r="F42" s="8" t="inlineStr">
        <is>
          <t>The AI has a toolbox and must pick the right tool for each job.</t>
        </is>
      </c>
      <c r="G42" s="8" t="inlineStr">
        <is>
          <t>multi-step tool workflows such as search, calculation, and file actions</t>
        </is>
      </c>
      <c r="H42" s="8" t="inlineStr">
        <is>
          <t>Related to Tool-Decathlon; exact tool set and scoring differ.</t>
        </is>
      </c>
      <c r="I42" s="8" t="inlineStr">
        <is>
          <t>Top available score here: ChatGPT 5.5 at 55.6 % pass. At that level, the model is solving multi-step tool workflows such as search, calculation, and file actions.</t>
        </is>
      </c>
    </row>
    <row r="43">
      <c r="A43" s="8" t="inlineStr">
        <is>
          <t>Tool-Decathlon</t>
        </is>
      </c>
      <c r="B43" s="8" t="inlineStr">
        <is>
          <t>Agentic &amp; Other</t>
        </is>
      </c>
      <c r="C43" s="8" t="inlineStr">
        <is>
          <t>% pass</t>
        </is>
      </c>
      <c r="D43" s="8" t="inlineStr">
        <is>
          <t>4 - Tool use</t>
        </is>
      </c>
      <c r="E43" s="8" t="inlineStr">
        <is>
          <t>A ten-event tool-use benchmark.</t>
        </is>
      </c>
      <c r="F43" s="8" t="inlineStr">
        <is>
          <t>A decathlon for tools: many different tool events, one overall score.</t>
        </is>
      </c>
      <c r="G43" s="8" t="inlineStr">
        <is>
          <t>diverse tool calls across task types</t>
        </is>
      </c>
      <c r="H43" s="8" t="inlineStr">
        <is>
          <t>Similar to Toolathlon but organized as a ten-part suite.</t>
        </is>
      </c>
      <c r="I43" s="8" t="inlineStr">
        <is>
          <t>Top available score here: GLM-5.1 at 40.7 % pass. At that level, the model is solving diverse tool calls across task types.</t>
        </is>
      </c>
    </row>
    <row r="44">
      <c r="A44" s="8" t="inlineStr">
        <is>
          <t>MCP-Atlas Public</t>
        </is>
      </c>
      <c r="B44" s="8" t="inlineStr">
        <is>
          <t>Agentic &amp; Other</t>
        </is>
      </c>
      <c r="C44" s="8" t="inlineStr">
        <is>
          <t>% pass</t>
        </is>
      </c>
      <c r="D44" s="8" t="inlineStr">
        <is>
          <t>5 - Tool orchestration</t>
        </is>
      </c>
      <c r="E44" s="8" t="inlineStr">
        <is>
          <t>Multi-tool orchestration using Model Context Protocol-style tasks.</t>
        </is>
      </c>
      <c r="F44" s="8" t="inlineStr">
        <is>
          <t>The AI has to coordinate many connected tools without mixing them up.</t>
        </is>
      </c>
      <c r="G44" s="8" t="inlineStr">
        <is>
          <t>multi-step work across connected apps, data, and tools</t>
        </is>
      </c>
      <c r="H44" s="8" t="inlineStr">
        <is>
          <t>More integration-focused than Toolathlon.</t>
        </is>
      </c>
      <c r="I44" s="8" t="inlineStr">
        <is>
          <t>Top available score here: Claude Opus 4.7 at 77.3 % pass. At that level, the model is solving multi-step work across connected apps, data, and tools.</t>
        </is>
      </c>
    </row>
    <row r="45">
      <c r="A45" s="8" t="inlineStr">
        <is>
          <t>tau3-Bench</t>
        </is>
      </c>
      <c r="B45" s="8" t="inlineStr">
        <is>
          <t>Agentic &amp; Other</t>
        </is>
      </c>
      <c r="C45" s="8" t="inlineStr">
        <is>
          <t>% pass</t>
        </is>
      </c>
      <c r="D45" s="8" t="inlineStr">
        <is>
          <t>5 - Customer workflow</t>
        </is>
      </c>
      <c r="E45" s="8" t="inlineStr">
        <is>
          <t>Tool-using conversational tasks with realistic service/workflow constraints.</t>
        </is>
      </c>
      <c r="F45" s="8" t="inlineStr">
        <is>
          <t>The AI handles a customer-style job while following rules and using tools.</t>
        </is>
      </c>
      <c r="G45" s="8" t="inlineStr">
        <is>
          <t>multi-turn service workflows with tool calls and policy constraints</t>
        </is>
      </c>
      <c r="H45" s="8" t="inlineStr">
        <is>
          <t>More conversation/workflow-oriented than MCP-Atlas.</t>
        </is>
      </c>
      <c r="I45" s="8" t="inlineStr">
        <is>
          <t>Top available score here: GLM-5.1 at 70.6 % pass. At that level, the model is solving multi-turn service workflows with tool calls and policy constraints.</t>
        </is>
      </c>
    </row>
    <row r="46">
      <c r="A46" s="8" t="inlineStr">
        <is>
          <t>MM Claw</t>
        </is>
      </c>
      <c r="B46" s="8" t="inlineStr">
        <is>
          <t>Agentic &amp; Other</t>
        </is>
      </c>
      <c r="C46" s="8" t="inlineStr">
        <is>
          <t>% score</t>
        </is>
      </c>
      <c r="D46" s="8" t="inlineStr">
        <is>
          <t>5 - Complex agent skills</t>
        </is>
      </c>
      <c r="E46" s="8" t="inlineStr">
        <is>
          <t>A benchmark for complex skill execution by agents.</t>
        </is>
      </c>
      <c r="F46" s="8" t="inlineStr">
        <is>
          <t>A mixed obstacle course for an AI worker.</t>
        </is>
      </c>
      <c r="G46" s="8" t="inlineStr">
        <is>
          <t>longer tasks that combine planning, tool use, and execution</t>
        </is>
      </c>
      <c r="H46" s="8" t="inlineStr">
        <is>
          <t>Broader but less standardized than single-skill coding benchmarks.</t>
        </is>
      </c>
      <c r="I46" s="8" t="inlineStr">
        <is>
          <t>Top available score here: MiniMax M2.7 at 62.7 % score. At that level, the model is solving longer tasks that combine planning, tool use, and execution.</t>
        </is>
      </c>
    </row>
    <row r="47">
      <c r="A47" s="8" t="inlineStr">
        <is>
          <t>MLE Bench Lite</t>
        </is>
      </c>
      <c r="B47" s="8" t="inlineStr">
        <is>
          <t>Agentic &amp; Other</t>
        </is>
      </c>
      <c r="C47" s="8" t="inlineStr">
        <is>
          <t>% medal rate</t>
        </is>
      </c>
      <c r="D47" s="8" t="inlineStr">
        <is>
          <t>5 - ML competition</t>
        </is>
      </c>
      <c r="E47" s="8" t="inlineStr">
        <is>
          <t>A lighter machine-learning competition benchmark.</t>
        </is>
      </c>
      <c r="F47" s="8" t="inlineStr">
        <is>
          <t>The AI tries small data-science contests and aims for a medal-like result.</t>
        </is>
      </c>
      <c r="G47" s="8" t="inlineStr">
        <is>
          <t>model training, data handling, and experiment iteration</t>
        </is>
      </c>
      <c r="H47" s="8" t="inlineStr">
        <is>
          <t>Different from coding tests because success depends on data-science judgment.</t>
        </is>
      </c>
      <c r="I47" s="8" t="inlineStr">
        <is>
          <t>Top available score here: MiniMax M2.7 at 66.6 % medal rate. At that level, the model is solving model training, data handling, and experiment iteration.</t>
        </is>
      </c>
    </row>
    <row r="48">
      <c r="A48" s="8" t="inlineStr">
        <is>
          <t>CyberGym</t>
        </is>
      </c>
      <c r="B48" s="8" t="inlineStr">
        <is>
          <t>Agentic &amp; Other</t>
        </is>
      </c>
      <c r="C48" s="8" t="inlineStr">
        <is>
          <t>% score</t>
        </is>
      </c>
      <c r="D48" s="8" t="inlineStr">
        <is>
          <t>5 - Cybersecurity</t>
        </is>
      </c>
      <c r="E48" s="8" t="inlineStr">
        <is>
          <t>Cybersecurity challenge tasks.</t>
        </is>
      </c>
      <c r="F48" s="8" t="inlineStr">
        <is>
          <t>A computer-security obstacle course for finding and fixing digital weaknesses.</t>
        </is>
      </c>
      <c r="G48" s="8" t="inlineStr">
        <is>
          <t>security tasks such as vulnerability analysis and challenge solving</t>
        </is>
      </c>
      <c r="H48" s="8" t="inlineStr">
        <is>
          <t>Specialized domain test; not a general writing or math benchmark.</t>
        </is>
      </c>
      <c r="I48" s="8" t="inlineStr">
        <is>
          <t>Top available score here: ChatGPT 5.5 at 81.8 % score. At that level, the model is solving security tasks such as vulnerability analysis and challenge solving.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GSM8K</t>
        </is>
      </c>
    </row>
    <row r="2">
      <c r="A2" t="inlineStr">
        <is>
          <t>HumanEval</t>
        </is>
      </c>
    </row>
    <row r="3">
      <c r="A3" t="inlineStr">
        <is>
          <t>SimpleQA-Verified</t>
        </is>
      </c>
    </row>
    <row r="4">
      <c r="A4" t="inlineStr">
        <is>
          <t>MATH</t>
        </is>
      </c>
    </row>
    <row r="5">
      <c r="A5" t="inlineStr">
        <is>
          <t>MMLU-Pro</t>
        </is>
      </c>
    </row>
    <row r="6">
      <c r="A6" t="inlineStr">
        <is>
          <t>MMMLU</t>
        </is>
      </c>
    </row>
    <row r="7">
      <c r="A7" t="inlineStr">
        <is>
          <t>GMMLU English</t>
        </is>
      </c>
    </row>
    <row r="8">
      <c r="A8" t="inlineStr">
        <is>
          <t>GMMLU low-resource average</t>
        </is>
      </c>
    </row>
    <row r="9">
      <c r="A9" t="inlineStr">
        <is>
          <t>MILU average</t>
        </is>
      </c>
    </row>
    <row r="10">
      <c r="A10" t="inlineStr">
        <is>
          <t>LiveCodeBench v6</t>
        </is>
      </c>
    </row>
    <row r="11">
      <c r="A11" t="inlineStr">
        <is>
          <t>OJBench Python</t>
        </is>
      </c>
    </row>
    <row r="12">
      <c r="A12" t="inlineStr">
        <is>
          <t>SciCode</t>
        </is>
      </c>
    </row>
    <row r="13">
      <c r="A13" t="inlineStr">
        <is>
          <t>Terminal-Bench 2.0</t>
        </is>
      </c>
    </row>
    <row r="14">
      <c r="A14" t="inlineStr">
        <is>
          <t>SWE-Bench Verified</t>
        </is>
      </c>
    </row>
    <row r="15">
      <c r="A15" t="inlineStr">
        <is>
          <t>SWE-Bench Pro</t>
        </is>
      </c>
    </row>
    <row r="16">
      <c r="A16" t="inlineStr">
        <is>
          <t>SWE-Bench Multilingual</t>
        </is>
      </c>
    </row>
    <row r="17">
      <c r="A17" t="inlineStr">
        <is>
          <t>Multi SWE Bench</t>
        </is>
      </c>
    </row>
    <row r="18">
      <c r="A18" t="inlineStr">
        <is>
          <t>SWE-Lancer IC Diamond</t>
        </is>
      </c>
    </row>
    <row r="19">
      <c r="A19" t="inlineStr">
        <is>
          <t>NL2Repo</t>
        </is>
      </c>
    </row>
    <row r="20">
      <c r="A20" t="inlineStr">
        <is>
          <t>VIBE-Pro</t>
        </is>
      </c>
    </row>
    <row r="21">
      <c r="A21" t="inlineStr">
        <is>
          <t>Codeforces</t>
        </is>
      </c>
    </row>
    <row r="22">
      <c r="A22" t="inlineStr">
        <is>
          <t>GPQA-Diamond</t>
        </is>
      </c>
    </row>
    <row r="23">
      <c r="A23" t="inlineStr">
        <is>
          <t>AIME 2026</t>
        </is>
      </c>
    </row>
    <row r="24">
      <c r="A24" t="inlineStr">
        <is>
          <t>HMMT 2025 Nov</t>
        </is>
      </c>
    </row>
    <row r="25">
      <c r="A25" t="inlineStr">
        <is>
          <t>HMMT 2026 Feb</t>
        </is>
      </c>
    </row>
    <row r="26">
      <c r="A26" t="inlineStr">
        <is>
          <t>IMO-AnswerBench</t>
        </is>
      </c>
    </row>
    <row r="27">
      <c r="A27" t="inlineStr">
        <is>
          <t>FrontierMath Tier 1-3</t>
        </is>
      </c>
    </row>
    <row r="28">
      <c r="A28" t="inlineStr">
        <is>
          <t>FrontierMath Tier 4</t>
        </is>
      </c>
    </row>
    <row r="29">
      <c r="A29" t="inlineStr">
        <is>
          <t>HLE</t>
        </is>
      </c>
    </row>
    <row r="30">
      <c r="A30" t="inlineStr">
        <is>
          <t>HLE w/ tools</t>
        </is>
      </c>
    </row>
    <row r="31">
      <c r="A31" t="inlineStr">
        <is>
          <t>ARC-AGI-2 Verified</t>
        </is>
      </c>
    </row>
    <row r="32">
      <c r="A32" t="inlineStr">
        <is>
          <t>GDPval</t>
        </is>
      </c>
    </row>
    <row r="33">
      <c r="A33" t="inlineStr">
        <is>
          <t>GDPval-AA</t>
        </is>
      </c>
    </row>
    <row r="34">
      <c r="A34" t="inlineStr">
        <is>
          <t>Finance Agent</t>
        </is>
      </c>
    </row>
    <row r="35">
      <c r="A35" t="inlineStr">
        <is>
          <t>MMMU-Pro</t>
        </is>
      </c>
    </row>
    <row r="36">
      <c r="A36" t="inlineStr">
        <is>
          <t>MMMU-Pro w/ tools</t>
        </is>
      </c>
    </row>
    <row r="37">
      <c r="A37" t="inlineStr">
        <is>
          <t>OSWorld-Verified</t>
        </is>
      </c>
    </row>
    <row r="38">
      <c r="A38" t="inlineStr">
        <is>
          <t>BrowseComp</t>
        </is>
      </c>
    </row>
    <row r="39">
      <c r="A39" t="inlineStr">
        <is>
          <t>BrowseComp w/ context management</t>
        </is>
      </c>
    </row>
    <row r="40">
      <c r="A40" t="inlineStr">
        <is>
          <t>DeepSearchQA</t>
        </is>
      </c>
    </row>
    <row r="41">
      <c r="A41" t="inlineStr">
        <is>
          <t>Toolathlon</t>
        </is>
      </c>
    </row>
    <row r="42">
      <c r="A42" t="inlineStr">
        <is>
          <t>Tool-Decathlon</t>
        </is>
      </c>
    </row>
    <row r="43">
      <c r="A43" t="inlineStr">
        <is>
          <t>MCP-Atlas Public</t>
        </is>
      </c>
    </row>
    <row r="44">
      <c r="A44" t="inlineStr">
        <is>
          <t>tau3-Bench</t>
        </is>
      </c>
    </row>
    <row r="45">
      <c r="A45" t="inlineStr">
        <is>
          <t>MM Claw</t>
        </is>
      </c>
    </row>
    <row r="46">
      <c r="A46" t="inlineStr">
        <is>
          <t>MLE Bench Lite</t>
        </is>
      </c>
    </row>
    <row r="47">
      <c r="A47" t="inlineStr">
        <is>
          <t>CyberGym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V9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  <col width="12" customWidth="1" min="7" max="7"/>
    <col width="15" customWidth="1" min="8" max="8"/>
    <col width="28" customWidth="1" min="9" max="9"/>
    <col width="14" customWidth="1" min="10" max="10"/>
    <col width="18" customWidth="1" min="11" max="11"/>
    <col width="16" customWidth="1" min="12" max="12"/>
    <col width="12" customWidth="1" min="13" max="13"/>
    <col width="20" customWidth="1" min="14" max="14"/>
    <col width="20" customWidth="1" min="15" max="15"/>
    <col width="15" customWidth="1" min="16" max="16"/>
    <col width="24" customWidth="1" min="17" max="17"/>
    <col width="17" customWidth="1" min="18" max="18"/>
    <col width="23" customWidth="1" min="19" max="19"/>
    <col width="12" customWidth="1" min="20" max="20"/>
    <col width="12" customWidth="1" min="21" max="21"/>
    <col width="12" customWidth="1" min="22" max="22"/>
    <col width="14" customWidth="1" min="23" max="23"/>
    <col width="12" customWidth="1" min="24" max="24"/>
    <col width="15" customWidth="1" min="25" max="25"/>
    <col width="15" customWidth="1" min="26" max="26"/>
    <col width="17" customWidth="1" min="27" max="27"/>
    <col width="23" customWidth="1" min="28" max="28"/>
    <col width="21" customWidth="1" min="29" max="29"/>
    <col width="12" customWidth="1" min="30" max="30"/>
    <col width="14" customWidth="1" min="31" max="31"/>
    <col width="20" customWidth="1" min="32" max="32"/>
    <col width="12" customWidth="1" min="33" max="33"/>
    <col width="12" customWidth="1" min="34" max="34"/>
    <col width="15" customWidth="1" min="35" max="35"/>
    <col width="12" customWidth="1" min="36" max="36"/>
    <col width="19" customWidth="1" min="37" max="37"/>
    <col width="18" customWidth="1" min="38" max="38"/>
    <col width="12" customWidth="1" min="39" max="39"/>
    <col width="34" customWidth="1" min="40" max="40"/>
    <col width="14" customWidth="1" min="41" max="41"/>
    <col width="12" customWidth="1" min="42" max="42"/>
    <col width="16" customWidth="1" min="43" max="43"/>
    <col width="18" customWidth="1" min="44" max="44"/>
    <col width="12" customWidth="1" min="45" max="45"/>
    <col width="12" customWidth="1" min="46" max="46"/>
    <col width="16" customWidth="1" min="47" max="47"/>
    <col width="12" customWidth="1" min="48" max="48"/>
  </cols>
  <sheetData>
    <row r="1">
      <c r="A1" s="7" t="inlineStr">
        <is>
          <t>Model</t>
        </is>
      </c>
      <c r="B1" s="7" t="inlineStr">
        <is>
          <t>GSM8K</t>
        </is>
      </c>
      <c r="C1" s="7" t="inlineStr">
        <is>
          <t>HumanEval</t>
        </is>
      </c>
      <c r="D1" s="7" t="inlineStr">
        <is>
          <t>SimpleQA-Verified</t>
        </is>
      </c>
      <c r="E1" s="7" t="inlineStr">
        <is>
          <t>MATH</t>
        </is>
      </c>
      <c r="F1" s="7" t="inlineStr">
        <is>
          <t>MMLU-Pro</t>
        </is>
      </c>
      <c r="G1" s="7" t="inlineStr">
        <is>
          <t>MMMLU</t>
        </is>
      </c>
      <c r="H1" s="7" t="inlineStr">
        <is>
          <t>GMMLU English</t>
        </is>
      </c>
      <c r="I1" s="7" t="inlineStr">
        <is>
          <t>GMMLU low-resource average</t>
        </is>
      </c>
      <c r="J1" s="7" t="inlineStr">
        <is>
          <t>MILU average</t>
        </is>
      </c>
      <c r="K1" s="7" t="inlineStr">
        <is>
          <t>LiveCodeBench v6</t>
        </is>
      </c>
      <c r="L1" s="7" t="inlineStr">
        <is>
          <t>OJBench Python</t>
        </is>
      </c>
      <c r="M1" s="7" t="inlineStr">
        <is>
          <t>SciCode</t>
        </is>
      </c>
      <c r="N1" s="7" t="inlineStr">
        <is>
          <t>Terminal-Bench 2.0</t>
        </is>
      </c>
      <c r="O1" s="7" t="inlineStr">
        <is>
          <t>SWE-Bench Verified</t>
        </is>
      </c>
      <c r="P1" s="7" t="inlineStr">
        <is>
          <t>SWE-Bench Pro</t>
        </is>
      </c>
      <c r="Q1" s="7" t="inlineStr">
        <is>
          <t>SWE-Bench Multilingual</t>
        </is>
      </c>
      <c r="R1" s="7" t="inlineStr">
        <is>
          <t>Multi SWE Bench</t>
        </is>
      </c>
      <c r="S1" s="7" t="inlineStr">
        <is>
          <t>SWE-Lancer IC Diamond</t>
        </is>
      </c>
      <c r="T1" s="7" t="inlineStr">
        <is>
          <t>NL2Repo</t>
        </is>
      </c>
      <c r="U1" s="7" t="inlineStr">
        <is>
          <t>VIBE-Pro</t>
        </is>
      </c>
      <c r="V1" s="7" t="inlineStr">
        <is>
          <t>Codeforces</t>
        </is>
      </c>
      <c r="W1" s="7" t="inlineStr">
        <is>
          <t>GPQA-Diamond</t>
        </is>
      </c>
      <c r="X1" s="7" t="inlineStr">
        <is>
          <t>AIME 2026</t>
        </is>
      </c>
      <c r="Y1" s="7" t="inlineStr">
        <is>
          <t>HMMT 2025 Nov</t>
        </is>
      </c>
      <c r="Z1" s="7" t="inlineStr">
        <is>
          <t>HMMT 2026 Feb</t>
        </is>
      </c>
      <c r="AA1" s="7" t="inlineStr">
        <is>
          <t>IMO-AnswerBench</t>
        </is>
      </c>
      <c r="AB1" s="7" t="inlineStr">
        <is>
          <t>FrontierMath Tier 1-3</t>
        </is>
      </c>
      <c r="AC1" s="7" t="inlineStr">
        <is>
          <t>FrontierMath Tier 4</t>
        </is>
      </c>
      <c r="AD1" s="7" t="inlineStr">
        <is>
          <t>HLE</t>
        </is>
      </c>
      <c r="AE1" s="7" t="inlineStr">
        <is>
          <t>HLE w/ tools</t>
        </is>
      </c>
      <c r="AF1" s="7" t="inlineStr">
        <is>
          <t>ARC-AGI-2 Verified</t>
        </is>
      </c>
      <c r="AG1" s="7" t="inlineStr">
        <is>
          <t>GDPval</t>
        </is>
      </c>
      <c r="AH1" s="7" t="inlineStr">
        <is>
          <t>GDPval-AA</t>
        </is>
      </c>
      <c r="AI1" s="7" t="inlineStr">
        <is>
          <t>Finance Agent</t>
        </is>
      </c>
      <c r="AJ1" s="7" t="inlineStr">
        <is>
          <t>MMMU-Pro</t>
        </is>
      </c>
      <c r="AK1" s="7" t="inlineStr">
        <is>
          <t>MMMU-Pro w/ tools</t>
        </is>
      </c>
      <c r="AL1" s="7" t="inlineStr">
        <is>
          <t>OSWorld-Verified</t>
        </is>
      </c>
      <c r="AM1" s="7" t="inlineStr">
        <is>
          <t>BrowseComp</t>
        </is>
      </c>
      <c r="AN1" s="7" t="inlineStr">
        <is>
          <t>BrowseComp w/ context management</t>
        </is>
      </c>
      <c r="AO1" s="7" t="inlineStr">
        <is>
          <t>DeepSearchQA</t>
        </is>
      </c>
      <c r="AP1" s="7" t="inlineStr">
        <is>
          <t>Toolathlon</t>
        </is>
      </c>
      <c r="AQ1" s="7" t="inlineStr">
        <is>
          <t>Tool-Decathlon</t>
        </is>
      </c>
      <c r="AR1" s="7" t="inlineStr">
        <is>
          <t>MCP-Atlas Public</t>
        </is>
      </c>
      <c r="AS1" s="7" t="inlineStr">
        <is>
          <t>tau3-Bench</t>
        </is>
      </c>
      <c r="AT1" s="7" t="inlineStr">
        <is>
          <t>MM Claw</t>
        </is>
      </c>
      <c r="AU1" s="7" t="inlineStr">
        <is>
          <t>MLE Bench Lite</t>
        </is>
      </c>
      <c r="AV1" s="7" t="inlineStr">
        <is>
          <t>CyberGym</t>
        </is>
      </c>
    </row>
    <row r="2">
      <c r="A2" s="8" t="inlineStr">
        <is>
          <t>ChatGPT 5.5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>
        <v>82.7</v>
      </c>
      <c r="O2" s="8" t="n"/>
      <c r="P2" s="8" t="n">
        <v>58.6</v>
      </c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>
        <v>51.7</v>
      </c>
      <c r="AC2" s="8" t="n">
        <v>35.4</v>
      </c>
      <c r="AD2" s="8" t="n"/>
      <c r="AE2" s="8" t="n"/>
      <c r="AF2" s="8" t="n"/>
      <c r="AG2" s="8" t="n">
        <v>84.90000000000001</v>
      </c>
      <c r="AH2" s="8" t="n"/>
      <c r="AI2" s="8" t="n"/>
      <c r="AJ2" s="8" t="n"/>
      <c r="AK2" s="8" t="n"/>
      <c r="AL2" s="8" t="n">
        <v>78.7</v>
      </c>
      <c r="AM2" s="8" t="n">
        <v>84.40000000000001</v>
      </c>
      <c r="AN2" s="8" t="n"/>
      <c r="AO2" s="8" t="n"/>
      <c r="AP2" s="8" t="n">
        <v>55.6</v>
      </c>
      <c r="AQ2" s="8" t="n"/>
      <c r="AR2" s="8" t="n"/>
      <c r="AS2" s="8" t="n"/>
      <c r="AT2" s="8" t="n"/>
      <c r="AU2" s="8" t="n"/>
      <c r="AV2" s="8" t="n">
        <v>81.8</v>
      </c>
    </row>
    <row r="3">
      <c r="A3" s="8" t="inlineStr">
        <is>
          <t>ChatGPT 5.3 Codex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>
        <v>77.3</v>
      </c>
      <c r="O3" s="8" t="n"/>
      <c r="P3" s="8" t="n">
        <v>56.8</v>
      </c>
      <c r="Q3" s="8" t="n"/>
      <c r="R3" s="8" t="n"/>
      <c r="S3" s="8" t="n">
        <v>81.40000000000001</v>
      </c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>
        <v>70.90000000000001</v>
      </c>
      <c r="AH3" s="8" t="n"/>
      <c r="AI3" s="8" t="n"/>
      <c r="AJ3" s="8" t="n"/>
      <c r="AK3" s="8" t="n"/>
      <c r="AL3" s="8" t="n">
        <v>64.7</v>
      </c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>
        <v>77.59999999999999</v>
      </c>
    </row>
    <row r="4">
      <c r="A4" s="8" t="inlineStr">
        <is>
          <t>Claude Opus 4.7</t>
        </is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>
        <v>69.40000000000001</v>
      </c>
      <c r="O4" s="8" t="n">
        <v>87.59999999999999</v>
      </c>
      <c r="P4" s="8" t="n">
        <v>64.3</v>
      </c>
      <c r="Q4" s="8" t="n"/>
      <c r="R4" s="8" t="n"/>
      <c r="S4" s="8" t="n"/>
      <c r="T4" s="8" t="n"/>
      <c r="U4" s="8" t="n"/>
      <c r="V4" s="8" t="n"/>
      <c r="W4" s="8" t="n">
        <v>94.2</v>
      </c>
      <c r="X4" s="8" t="n">
        <v>90</v>
      </c>
      <c r="Y4" s="8" t="n"/>
      <c r="Z4" s="8" t="n"/>
      <c r="AA4" s="8" t="n"/>
      <c r="AB4" s="8" t="n">
        <v>43.8</v>
      </c>
      <c r="AC4" s="8" t="n">
        <v>22.9</v>
      </c>
      <c r="AD4" s="8" t="n"/>
      <c r="AE4" s="8" t="n">
        <v>54.7</v>
      </c>
      <c r="AF4" s="8" t="n"/>
      <c r="AG4" s="8" t="n">
        <v>80.3</v>
      </c>
      <c r="AH4" s="8" t="n">
        <v>1753</v>
      </c>
      <c r="AI4" s="8" t="n"/>
      <c r="AJ4" s="8" t="n"/>
      <c r="AK4" s="8" t="n"/>
      <c r="AL4" s="8" t="n">
        <v>78</v>
      </c>
      <c r="AM4" s="8" t="n">
        <v>79.3</v>
      </c>
      <c r="AN4" s="8" t="n"/>
      <c r="AO4" s="8" t="n"/>
      <c r="AP4" s="8" t="n"/>
      <c r="AQ4" s="8" t="n"/>
      <c r="AR4" s="8" t="n">
        <v>77.3</v>
      </c>
      <c r="AS4" s="8" t="n"/>
      <c r="AT4" s="8" t="n"/>
      <c r="AU4" s="8" t="n"/>
      <c r="AV4" s="8" t="n">
        <v>73.09999999999999</v>
      </c>
    </row>
    <row r="5">
      <c r="A5" s="8" t="inlineStr">
        <is>
          <t>Claude Sonnet 4.6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>
        <v>59.1</v>
      </c>
      <c r="O5" s="8" t="n">
        <v>79.59999999999999</v>
      </c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>
        <v>1674</v>
      </c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</row>
    <row r="6">
      <c r="A6" s="8" t="inlineStr">
        <is>
          <t>MiniMax M2.7</t>
        </is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>
        <v>57</v>
      </c>
      <c r="O6" s="8" t="n"/>
      <c r="P6" s="8" t="n">
        <v>56.22</v>
      </c>
      <c r="Q6" s="8" t="n">
        <v>76.5</v>
      </c>
      <c r="R6" s="8" t="n">
        <v>52.7</v>
      </c>
      <c r="S6" s="8" t="n"/>
      <c r="T6" s="8" t="n">
        <v>39.8</v>
      </c>
      <c r="U6" s="8" t="n">
        <v>55.6</v>
      </c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>
        <v>1495</v>
      </c>
      <c r="AI6" s="8" t="n"/>
      <c r="AJ6" s="8" t="n"/>
      <c r="AK6" s="8" t="n"/>
      <c r="AL6" s="8" t="n"/>
      <c r="AM6" s="8" t="n"/>
      <c r="AN6" s="8" t="n"/>
      <c r="AO6" s="8" t="n"/>
      <c r="AP6" s="8" t="n">
        <v>46.3</v>
      </c>
      <c r="AQ6" s="8" t="n"/>
      <c r="AR6" s="8" t="n"/>
      <c r="AS6" s="8" t="n"/>
      <c r="AT6" s="8" t="n">
        <v>62.7</v>
      </c>
      <c r="AU6" s="8" t="n">
        <v>66.59999999999999</v>
      </c>
      <c r="AV6" s="8" t="n"/>
    </row>
    <row r="7">
      <c r="A7" s="8" t="inlineStr">
        <is>
          <t>Kimi K2.6</t>
        </is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>
        <v>89.59999999999999</v>
      </c>
      <c r="L7" s="8" t="n">
        <v>60.6</v>
      </c>
      <c r="M7" s="8" t="n">
        <v>52.2</v>
      </c>
      <c r="N7" s="8" t="n">
        <v>66.7</v>
      </c>
      <c r="O7" s="8" t="n">
        <v>80.2</v>
      </c>
      <c r="P7" s="8" t="n">
        <v>58.6</v>
      </c>
      <c r="Q7" s="8" t="n">
        <v>76.7</v>
      </c>
      <c r="R7" s="8" t="n"/>
      <c r="S7" s="8" t="n"/>
      <c r="T7" s="8" t="n"/>
      <c r="U7" s="8" t="n"/>
      <c r="V7" s="8" t="n"/>
      <c r="W7" s="8" t="n">
        <v>90.5</v>
      </c>
      <c r="X7" s="8" t="n">
        <v>96.40000000000001</v>
      </c>
      <c r="Y7" s="8" t="n"/>
      <c r="Z7" s="8" t="n">
        <v>92.7</v>
      </c>
      <c r="AA7" s="8" t="n">
        <v>86</v>
      </c>
      <c r="AB7" s="8" t="n"/>
      <c r="AC7" s="8" t="n"/>
      <c r="AD7" s="8" t="n">
        <v>34.7</v>
      </c>
      <c r="AE7" s="8" t="n">
        <v>54</v>
      </c>
      <c r="AF7" s="8" t="n"/>
      <c r="AG7" s="8" t="n"/>
      <c r="AH7" s="8" t="n">
        <v>1482</v>
      </c>
      <c r="AI7" s="8" t="n"/>
      <c r="AJ7" s="8" t="n"/>
      <c r="AK7" s="8" t="n"/>
      <c r="AL7" s="8" t="n">
        <v>73.09999999999999</v>
      </c>
      <c r="AM7" s="8" t="n">
        <v>83.2</v>
      </c>
      <c r="AN7" s="8" t="n"/>
      <c r="AO7" s="8" t="n">
        <v>92.5</v>
      </c>
      <c r="AP7" s="8" t="n">
        <v>50</v>
      </c>
      <c r="AQ7" s="8" t="n"/>
      <c r="AR7" s="8" t="n"/>
      <c r="AS7" s="8" t="n"/>
      <c r="AT7" s="8" t="n"/>
      <c r="AU7" s="8" t="n"/>
      <c r="AV7" s="8" t="n"/>
    </row>
    <row r="8">
      <c r="A8" s="8" t="inlineStr">
        <is>
          <t>DeepSeek V4-Pro Max</t>
        </is>
      </c>
      <c r="B8" s="8" t="n">
        <v>92.59999999999999</v>
      </c>
      <c r="C8" s="8" t="n">
        <v>76.8</v>
      </c>
      <c r="D8" s="8" t="n">
        <v>57.9</v>
      </c>
      <c r="E8" s="8" t="n">
        <v>64.5</v>
      </c>
      <c r="F8" s="8" t="n">
        <v>87.5</v>
      </c>
      <c r="G8" s="8" t="n"/>
      <c r="H8" s="8" t="n"/>
      <c r="I8" s="8" t="n"/>
      <c r="J8" s="8" t="n"/>
      <c r="K8" s="8" t="n">
        <v>93.5</v>
      </c>
      <c r="L8" s="8" t="n"/>
      <c r="M8" s="8" t="n"/>
      <c r="N8" s="8" t="n">
        <v>67.90000000000001</v>
      </c>
      <c r="O8" s="8" t="n">
        <v>80.59999999999999</v>
      </c>
      <c r="P8" s="8" t="n">
        <v>55.4</v>
      </c>
      <c r="Q8" s="8" t="n">
        <v>76.2</v>
      </c>
      <c r="R8" s="8" t="n"/>
      <c r="S8" s="8" t="n"/>
      <c r="T8" s="8" t="n"/>
      <c r="U8" s="8" t="n"/>
      <c r="V8" s="8" t="n">
        <v>3206</v>
      </c>
      <c r="W8" s="8" t="n">
        <v>90.09999999999999</v>
      </c>
      <c r="X8" s="8" t="n"/>
      <c r="Y8" s="8" t="n"/>
      <c r="Z8" s="8" t="n">
        <v>95.2</v>
      </c>
      <c r="AA8" s="8" t="n">
        <v>89.8</v>
      </c>
      <c r="AB8" s="8" t="n"/>
      <c r="AC8" s="8" t="n"/>
      <c r="AD8" s="8" t="n">
        <v>37.7</v>
      </c>
      <c r="AE8" s="8" t="n">
        <v>48.2</v>
      </c>
      <c r="AF8" s="8" t="n"/>
      <c r="AG8" s="8" t="n"/>
      <c r="AH8" s="8" t="n">
        <v>1554</v>
      </c>
      <c r="AI8" s="8" t="n"/>
      <c r="AJ8" s="8" t="n"/>
      <c r="AK8" s="8" t="n"/>
      <c r="AL8" s="8" t="n"/>
      <c r="AM8" s="8" t="n">
        <v>83.40000000000001</v>
      </c>
      <c r="AN8" s="8" t="n"/>
      <c r="AO8" s="8" t="n"/>
      <c r="AP8" s="8" t="n">
        <v>51.8</v>
      </c>
      <c r="AQ8" s="8" t="n"/>
      <c r="AR8" s="8" t="n">
        <v>73.59999999999999</v>
      </c>
      <c r="AS8" s="8" t="n"/>
      <c r="AT8" s="8" t="n"/>
      <c r="AU8" s="8" t="n"/>
      <c r="AV8" s="8" t="n"/>
    </row>
    <row r="9">
      <c r="A9" s="8" t="inlineStr">
        <is>
          <t>GLM-5.1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>
        <v>63.5</v>
      </c>
      <c r="O9" s="8" t="n"/>
      <c r="P9" s="8" t="n">
        <v>58.4</v>
      </c>
      <c r="Q9" s="8" t="n"/>
      <c r="R9" s="8" t="n"/>
      <c r="S9" s="8" t="n"/>
      <c r="T9" s="8" t="n">
        <v>42.7</v>
      </c>
      <c r="U9" s="8" t="n"/>
      <c r="V9" s="8" t="n"/>
      <c r="W9" s="8" t="n">
        <v>86.2</v>
      </c>
      <c r="X9" s="8" t="n">
        <v>95.3</v>
      </c>
      <c r="Y9" s="8" t="n">
        <v>94</v>
      </c>
      <c r="Z9" s="8" t="n">
        <v>82.59999999999999</v>
      </c>
      <c r="AA9" s="8" t="n">
        <v>83.8</v>
      </c>
      <c r="AB9" s="8" t="n"/>
      <c r="AC9" s="8" t="n"/>
      <c r="AD9" s="8" t="n">
        <v>31</v>
      </c>
      <c r="AE9" s="8" t="n">
        <v>52.3</v>
      </c>
      <c r="AF9" s="8" t="n"/>
      <c r="AG9" s="8" t="n"/>
      <c r="AH9" s="8" t="n">
        <v>1535</v>
      </c>
      <c r="AI9" s="8" t="n"/>
      <c r="AJ9" s="8" t="n"/>
      <c r="AK9" s="8" t="n"/>
      <c r="AL9" s="8" t="n"/>
      <c r="AM9" s="8" t="n">
        <v>68</v>
      </c>
      <c r="AN9" s="8" t="n">
        <v>79.3</v>
      </c>
      <c r="AO9" s="8" t="n"/>
      <c r="AP9" s="8" t="n"/>
      <c r="AQ9" s="8" t="n">
        <v>40.7</v>
      </c>
      <c r="AR9" s="8" t="n">
        <v>71.8</v>
      </c>
      <c r="AS9" s="8" t="n">
        <v>70.59999999999999</v>
      </c>
      <c r="AT9" s="8" t="n"/>
      <c r="AU9" s="8" t="n"/>
      <c r="AV9" s="8" t="n">
        <v>68.7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V9"/>
  <sheetViews>
    <sheetView workbookViewId="0">
      <selection activeCell="A1" sqref="A1"/>
    </sheetView>
  </sheetViews>
  <sheetFormatPr baseColWidth="8" defaultRowHeight="15"/>
  <cols>
    <col width="21" customWidth="1" min="1" max="1"/>
    <col width="52" customWidth="1" min="2" max="2"/>
    <col width="52" customWidth="1" min="3" max="3"/>
    <col width="52" customWidth="1" min="4" max="4"/>
    <col width="52" customWidth="1" min="5" max="5"/>
    <col width="52" customWidth="1" min="6" max="6"/>
    <col width="12" customWidth="1" min="7" max="7"/>
    <col width="15" customWidth="1" min="8" max="8"/>
    <col width="28" customWidth="1" min="9" max="9"/>
    <col width="14" customWidth="1" min="10" max="10"/>
    <col width="52" customWidth="1" min="11" max="11"/>
    <col width="49" customWidth="1" min="12" max="12"/>
    <col width="49" customWidth="1" min="13" max="13"/>
    <col width="59" customWidth="1" min="14" max="14"/>
    <col width="59" customWidth="1" min="15" max="15"/>
    <col width="65" customWidth="1" min="16" max="16"/>
    <col width="52" customWidth="1" min="17" max="17"/>
    <col width="38" customWidth="1" min="18" max="18"/>
    <col width="36" customWidth="1" min="19" max="19"/>
    <col width="38" customWidth="1" min="20" max="20"/>
    <col width="38" customWidth="1" min="21" max="21"/>
    <col width="52" customWidth="1" min="22" max="22"/>
    <col width="52" customWidth="1" min="23" max="23"/>
    <col width="49" customWidth="1" min="24" max="24"/>
    <col width="33" customWidth="1" min="25" max="25"/>
    <col width="52" customWidth="1" min="26" max="26"/>
    <col width="52" customWidth="1" min="27" max="27"/>
    <col width="30" customWidth="1" min="28" max="28"/>
    <col width="30" customWidth="1" min="29" max="29"/>
    <col width="52" customWidth="1" min="30" max="30"/>
    <col width="52" customWidth="1" min="31" max="31"/>
    <col width="20" customWidth="1" min="32" max="32"/>
    <col width="36" customWidth="1" min="33" max="33"/>
    <col width="52" customWidth="1" min="34" max="34"/>
    <col width="15" customWidth="1" min="35" max="35"/>
    <col width="12" customWidth="1" min="36" max="36"/>
    <col width="19" customWidth="1" min="37" max="37"/>
    <col width="65" customWidth="1" min="38" max="38"/>
    <col width="52" customWidth="1" min="39" max="39"/>
    <col width="34" customWidth="1" min="40" max="40"/>
    <col width="49" customWidth="1" min="41" max="41"/>
    <col width="52" customWidth="1" min="42" max="42"/>
    <col width="33" customWidth="1" min="43" max="43"/>
    <col width="52" customWidth="1" min="44" max="44"/>
    <col width="33" customWidth="1" min="45" max="45"/>
    <col width="38" customWidth="1" min="46" max="46"/>
    <col width="38" customWidth="1" min="47" max="47"/>
    <col width="36" customWidth="1" min="48" max="48"/>
  </cols>
  <sheetData>
    <row r="1">
      <c r="A1" s="7" t="inlineStr">
        <is>
          <t>Model</t>
        </is>
      </c>
      <c r="B1" s="7" t="inlineStr">
        <is>
          <t>GSM8K</t>
        </is>
      </c>
      <c r="C1" s="7" t="inlineStr">
        <is>
          <t>HumanEval</t>
        </is>
      </c>
      <c r="D1" s="7" t="inlineStr">
        <is>
          <t>SimpleQA-Verified</t>
        </is>
      </c>
      <c r="E1" s="7" t="inlineStr">
        <is>
          <t>MATH</t>
        </is>
      </c>
      <c r="F1" s="7" t="inlineStr">
        <is>
          <t>MMLU-Pro</t>
        </is>
      </c>
      <c r="G1" s="7" t="inlineStr">
        <is>
          <t>MMMLU</t>
        </is>
      </c>
      <c r="H1" s="7" t="inlineStr">
        <is>
          <t>GMMLU English</t>
        </is>
      </c>
      <c r="I1" s="7" t="inlineStr">
        <is>
          <t>GMMLU low-resource average</t>
        </is>
      </c>
      <c r="J1" s="7" t="inlineStr">
        <is>
          <t>MILU average</t>
        </is>
      </c>
      <c r="K1" s="7" t="inlineStr">
        <is>
          <t>LiveCodeBench v6</t>
        </is>
      </c>
      <c r="L1" s="7" t="inlineStr">
        <is>
          <t>OJBench Python</t>
        </is>
      </c>
      <c r="M1" s="7" t="inlineStr">
        <is>
          <t>SciCode</t>
        </is>
      </c>
      <c r="N1" s="7" t="inlineStr">
        <is>
          <t>Terminal-Bench 2.0</t>
        </is>
      </c>
      <c r="O1" s="7" t="inlineStr">
        <is>
          <t>SWE-Bench Verified</t>
        </is>
      </c>
      <c r="P1" s="7" t="inlineStr">
        <is>
          <t>SWE-Bench Pro</t>
        </is>
      </c>
      <c r="Q1" s="7" t="inlineStr">
        <is>
          <t>SWE-Bench Multilingual</t>
        </is>
      </c>
      <c r="R1" s="7" t="inlineStr">
        <is>
          <t>Multi SWE Bench</t>
        </is>
      </c>
      <c r="S1" s="7" t="inlineStr">
        <is>
          <t>SWE-Lancer IC Diamond</t>
        </is>
      </c>
      <c r="T1" s="7" t="inlineStr">
        <is>
          <t>NL2Repo</t>
        </is>
      </c>
      <c r="U1" s="7" t="inlineStr">
        <is>
          <t>VIBE-Pro</t>
        </is>
      </c>
      <c r="V1" s="7" t="inlineStr">
        <is>
          <t>Codeforces</t>
        </is>
      </c>
      <c r="W1" s="7" t="inlineStr">
        <is>
          <t>GPQA-Diamond</t>
        </is>
      </c>
      <c r="X1" s="7" t="inlineStr">
        <is>
          <t>AIME 2026</t>
        </is>
      </c>
      <c r="Y1" s="7" t="inlineStr">
        <is>
          <t>HMMT 2025 Nov</t>
        </is>
      </c>
      <c r="Z1" s="7" t="inlineStr">
        <is>
          <t>HMMT 2026 Feb</t>
        </is>
      </c>
      <c r="AA1" s="7" t="inlineStr">
        <is>
          <t>IMO-AnswerBench</t>
        </is>
      </c>
      <c r="AB1" s="7" t="inlineStr">
        <is>
          <t>FrontierMath Tier 1-3</t>
        </is>
      </c>
      <c r="AC1" s="7" t="inlineStr">
        <is>
          <t>FrontierMath Tier 4</t>
        </is>
      </c>
      <c r="AD1" s="7" t="inlineStr">
        <is>
          <t>HLE</t>
        </is>
      </c>
      <c r="AE1" s="7" t="inlineStr">
        <is>
          <t>HLE w/ tools</t>
        </is>
      </c>
      <c r="AF1" s="7" t="inlineStr">
        <is>
          <t>ARC-AGI-2 Verified</t>
        </is>
      </c>
      <c r="AG1" s="7" t="inlineStr">
        <is>
          <t>GDPval</t>
        </is>
      </c>
      <c r="AH1" s="7" t="inlineStr">
        <is>
          <t>GDPval-AA</t>
        </is>
      </c>
      <c r="AI1" s="7" t="inlineStr">
        <is>
          <t>Finance Agent</t>
        </is>
      </c>
      <c r="AJ1" s="7" t="inlineStr">
        <is>
          <t>MMMU-Pro</t>
        </is>
      </c>
      <c r="AK1" s="7" t="inlineStr">
        <is>
          <t>MMMU-Pro w/ tools</t>
        </is>
      </c>
      <c r="AL1" s="7" t="inlineStr">
        <is>
          <t>OSWorld-Verified</t>
        </is>
      </c>
      <c r="AM1" s="7" t="inlineStr">
        <is>
          <t>BrowseComp</t>
        </is>
      </c>
      <c r="AN1" s="7" t="inlineStr">
        <is>
          <t>BrowseComp w/ context management</t>
        </is>
      </c>
      <c r="AO1" s="7" t="inlineStr">
        <is>
          <t>DeepSearchQA</t>
        </is>
      </c>
      <c r="AP1" s="7" t="inlineStr">
        <is>
          <t>Toolathlon</t>
        </is>
      </c>
      <c r="AQ1" s="7" t="inlineStr">
        <is>
          <t>Tool-Decathlon</t>
        </is>
      </c>
      <c r="AR1" s="7" t="inlineStr">
        <is>
          <t>MCP-Atlas Public</t>
        </is>
      </c>
      <c r="AS1" s="7" t="inlineStr">
        <is>
          <t>tau3-Bench</t>
        </is>
      </c>
      <c r="AT1" s="7" t="inlineStr">
        <is>
          <t>MM Claw</t>
        </is>
      </c>
      <c r="AU1" s="7" t="inlineStr">
        <is>
          <t>MLE Bench Lite</t>
        </is>
      </c>
      <c r="AV1" s="7" t="inlineStr">
        <is>
          <t>CyberGym</t>
        </is>
      </c>
    </row>
    <row r="2">
      <c r="A2" s="8" t="inlineStr">
        <is>
          <t>ChatGPT 5.5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>
        <is>
          <t>OpenAI - Introducing GPT-5.5</t>
        </is>
      </c>
      <c r="O2" s="8" t="inlineStr"/>
      <c r="P2" s="8" t="inlineStr">
        <is>
          <t>OpenAI - Introducing GPT-5.5; BenchLM - SWE-bench Pro leaderboard</t>
        </is>
      </c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>
        <is>
          <t>OpenAI - Introducing GPT-5.5</t>
        </is>
      </c>
      <c r="AC2" s="8" t="inlineStr">
        <is>
          <t>OpenAI - Introducing GPT-5.5</t>
        </is>
      </c>
      <c r="AD2" s="8" t="inlineStr"/>
      <c r="AE2" s="8" t="inlineStr"/>
      <c r="AF2" s="8" t="inlineStr"/>
      <c r="AG2" s="8" t="inlineStr">
        <is>
          <t>OpenAI - Introducing GPT-5.5</t>
        </is>
      </c>
      <c r="AH2" s="8" t="inlineStr"/>
      <c r="AI2" s="8" t="inlineStr"/>
      <c r="AJ2" s="8" t="inlineStr"/>
      <c r="AK2" s="8" t="inlineStr"/>
      <c r="AL2" s="8" t="inlineStr">
        <is>
          <t>OpenAI - Introducing GPT-5.5</t>
        </is>
      </c>
      <c r="AM2" s="8" t="inlineStr">
        <is>
          <t>OpenAI - Introducing GPT-5.5</t>
        </is>
      </c>
      <c r="AN2" s="8" t="inlineStr"/>
      <c r="AO2" s="8" t="inlineStr"/>
      <c r="AP2" s="8" t="inlineStr">
        <is>
          <t>OpenAI - Introducing GPT-5.5</t>
        </is>
      </c>
      <c r="AQ2" s="8" t="inlineStr"/>
      <c r="AR2" s="8" t="inlineStr"/>
      <c r="AS2" s="8" t="inlineStr"/>
      <c r="AT2" s="8" t="inlineStr"/>
      <c r="AU2" s="8" t="inlineStr"/>
      <c r="AV2" s="8" t="inlineStr">
        <is>
          <t>OpenAI - Introducing GPT-5.5</t>
        </is>
      </c>
    </row>
    <row r="3">
      <c r="A3" s="8" t="inlineStr">
        <is>
          <t>ChatGPT 5.3 Codex</t>
        </is>
      </c>
      <c r="B3" s="8" t="inlineStr"/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8" t="inlineStr"/>
      <c r="N3" s="8" t="inlineStr">
        <is>
          <t>OpenAI - Introducing GPT-5.3-Codex</t>
        </is>
      </c>
      <c r="O3" s="8" t="inlineStr"/>
      <c r="P3" s="8" t="inlineStr">
        <is>
          <t>OpenAI - Introducing GPT-5.3-Codex; BenchLM - SWE-bench Pro leaderboard</t>
        </is>
      </c>
      <c r="Q3" s="8" t="inlineStr"/>
      <c r="R3" s="8" t="inlineStr"/>
      <c r="S3" s="8" t="inlineStr">
        <is>
          <t>OpenAI - Introducing GPT-5.3-Codex</t>
        </is>
      </c>
      <c r="T3" s="8" t="inlineStr"/>
      <c r="U3" s="8" t="inlineStr"/>
      <c r="V3" s="8" t="inlineStr"/>
      <c r="W3" s="8" t="inlineStr"/>
      <c r="X3" s="8" t="inlineStr"/>
      <c r="Y3" s="8" t="inlineStr"/>
      <c r="Z3" s="8" t="inlineStr"/>
      <c r="AA3" s="8" t="inlineStr"/>
      <c r="AB3" s="8" t="inlineStr"/>
      <c r="AC3" s="8" t="inlineStr"/>
      <c r="AD3" s="8" t="inlineStr"/>
      <c r="AE3" s="8" t="inlineStr"/>
      <c r="AF3" s="8" t="inlineStr"/>
      <c r="AG3" s="8" t="inlineStr">
        <is>
          <t>OpenAI - Introducing GPT-5.3-Codex</t>
        </is>
      </c>
      <c r="AH3" s="8" t="inlineStr"/>
      <c r="AI3" s="8" t="inlineStr"/>
      <c r="AJ3" s="8" t="inlineStr"/>
      <c r="AK3" s="8" t="inlineStr"/>
      <c r="AL3" s="8" t="inlineStr">
        <is>
          <t>OpenAI - Introducing GPT-5.3-Codex</t>
        </is>
      </c>
      <c r="AM3" s="8" t="inlineStr"/>
      <c r="AN3" s="8" t="inlineStr"/>
      <c r="AO3" s="8" t="inlineStr"/>
      <c r="AP3" s="8" t="inlineStr"/>
      <c r="AQ3" s="8" t="inlineStr"/>
      <c r="AR3" s="8" t="inlineStr"/>
      <c r="AS3" s="8" t="inlineStr"/>
      <c r="AT3" s="8" t="inlineStr"/>
      <c r="AU3" s="8" t="inlineStr"/>
      <c r="AV3" s="8" t="inlineStr">
        <is>
          <t>OpenAI - Introducing GPT-5.3-Codex</t>
        </is>
      </c>
    </row>
    <row r="4">
      <c r="A4" s="8" t="inlineStr">
        <is>
          <t>Claude Opus 4.7</t>
        </is>
      </c>
      <c r="B4" s="8" t="inlineStr"/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8" t="inlineStr"/>
      <c r="M4" s="8" t="inlineStr"/>
      <c r="N4" s="8" t="inlineStr">
        <is>
          <t>OpenAI - Introducing GPT-5.5</t>
        </is>
      </c>
      <c r="O4" s="8" t="inlineStr">
        <is>
          <t>Hokai - Claude Opus 4.7 benchmark summary</t>
        </is>
      </c>
      <c r="P4" s="8" t="inlineStr">
        <is>
          <t>BenchLM - SWE-bench Pro leaderboard; Hokai - Claude Opus 4.7 benchmark summary</t>
        </is>
      </c>
      <c r="Q4" s="8" t="inlineStr"/>
      <c r="R4" s="8" t="inlineStr"/>
      <c r="S4" s="8" t="inlineStr"/>
      <c r="T4" s="8" t="inlineStr"/>
      <c r="U4" s="8" t="inlineStr"/>
      <c r="V4" s="8" t="inlineStr"/>
      <c r="W4" s="8" t="inlineStr">
        <is>
          <t>Hokai - Claude Opus 4.7 benchmark summary</t>
        </is>
      </c>
      <c r="X4" s="8" t="inlineStr">
        <is>
          <t>LayerLens - Claude Opus 4.7 on AIME 2026</t>
        </is>
      </c>
      <c r="Y4" s="8" t="inlineStr"/>
      <c r="Z4" s="8" t="inlineStr"/>
      <c r="AA4" s="8" t="inlineStr"/>
      <c r="AB4" s="8" t="inlineStr">
        <is>
          <t>OpenAI - Introducing GPT-5.5</t>
        </is>
      </c>
      <c r="AC4" s="8" t="inlineStr">
        <is>
          <t>OpenAI - Introducing GPT-5.5</t>
        </is>
      </c>
      <c r="AD4" s="8" t="inlineStr"/>
      <c r="AE4" s="8" t="inlineStr">
        <is>
          <t>Hokai - Claude Opus 4.7 benchmark summary</t>
        </is>
      </c>
      <c r="AF4" s="8" t="inlineStr"/>
      <c r="AG4" s="8" t="inlineStr">
        <is>
          <t>OpenAI - Introducing GPT-5.5</t>
        </is>
      </c>
      <c r="AH4" s="8" t="inlineStr">
        <is>
          <t>Artificial Analysis - Opus 4.7 analysis</t>
        </is>
      </c>
      <c r="AI4" s="8" t="inlineStr"/>
      <c r="AJ4" s="8" t="inlineStr"/>
      <c r="AK4" s="8" t="inlineStr"/>
      <c r="AL4" s="8" t="inlineStr">
        <is>
          <t>OpenAI - Introducing GPT-5.5; Hokai - Claude Opus 4.7 benchmark summary</t>
        </is>
      </c>
      <c r="AM4" s="8" t="inlineStr">
        <is>
          <t>OpenAI - Introducing GPT-5.5</t>
        </is>
      </c>
      <c r="AN4" s="8" t="inlineStr"/>
      <c r="AO4" s="8" t="inlineStr"/>
      <c r="AP4" s="8" t="inlineStr"/>
      <c r="AQ4" s="8" t="inlineStr"/>
      <c r="AR4" s="8" t="inlineStr">
        <is>
          <t>Hokai - Claude Opus 4.7 benchmark summary</t>
        </is>
      </c>
      <c r="AS4" s="8" t="inlineStr"/>
      <c r="AT4" s="8" t="inlineStr"/>
      <c r="AU4" s="8" t="inlineStr"/>
      <c r="AV4" s="8" t="inlineStr">
        <is>
          <t>OpenAI - Introducing GPT-5.5</t>
        </is>
      </c>
    </row>
    <row r="5">
      <c r="A5" s="8" t="inlineStr">
        <is>
          <t>Claude Sonnet 4.6</t>
        </is>
      </c>
      <c r="B5" s="8" t="inlineStr"/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8" t="inlineStr">
        <is>
          <t>Anthropic - Introducing Claude Sonnet 4.6 and system card</t>
        </is>
      </c>
      <c r="O5" s="8" t="inlineStr">
        <is>
          <t>Anthropic - Introducing Claude Sonnet 4.6 and system card</t>
        </is>
      </c>
      <c r="P5" s="8" t="inlineStr"/>
      <c r="Q5" s="8" t="inlineStr"/>
      <c r="R5" s="8" t="inlineStr"/>
      <c r="S5" s="8" t="inlineStr"/>
      <c r="T5" s="8" t="inlineStr"/>
      <c r="U5" s="8" t="inlineStr"/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8" t="inlineStr"/>
      <c r="AE5" s="8" t="inlineStr"/>
      <c r="AF5" s="8" t="inlineStr"/>
      <c r="AG5" s="8" t="inlineStr"/>
      <c r="AH5" s="8" t="inlineStr">
        <is>
          <t>Artificial Analysis - Opus 4.7 analysis</t>
        </is>
      </c>
      <c r="AI5" s="8" t="inlineStr"/>
      <c r="AJ5" s="8" t="inlineStr"/>
      <c r="AK5" s="8" t="inlineStr"/>
      <c r="AL5" s="8" t="inlineStr"/>
      <c r="AM5" s="8" t="inlineStr"/>
      <c r="AN5" s="8" t="inlineStr"/>
      <c r="AO5" s="8" t="inlineStr"/>
      <c r="AP5" s="8" t="inlineStr"/>
      <c r="AQ5" s="8" t="inlineStr"/>
      <c r="AR5" s="8" t="inlineStr"/>
      <c r="AS5" s="8" t="inlineStr"/>
      <c r="AT5" s="8" t="inlineStr"/>
      <c r="AU5" s="8" t="inlineStr"/>
      <c r="AV5" s="8" t="inlineStr"/>
    </row>
    <row r="6">
      <c r="A6" s="8" t="inlineStr">
        <is>
          <t>MiniMax M2.7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>
        <is>
          <t>NVIDIA NIM - MiniMax M2.7 model card</t>
        </is>
      </c>
      <c r="O6" s="8" t="inlineStr"/>
      <c r="P6" s="8" t="inlineStr">
        <is>
          <t>NVIDIA NIM - MiniMax M2.7 model card; BenchLM - SWE-bench Pro leaderboard</t>
        </is>
      </c>
      <c r="Q6" s="8" t="inlineStr">
        <is>
          <t>NVIDIA NIM - MiniMax M2.7 model card</t>
        </is>
      </c>
      <c r="R6" s="8" t="inlineStr">
        <is>
          <t>NVIDIA NIM - MiniMax M2.7 model card</t>
        </is>
      </c>
      <c r="S6" s="8" t="inlineStr"/>
      <c r="T6" s="8" t="inlineStr">
        <is>
          <t>NVIDIA NIM - MiniMax M2.7 model card</t>
        </is>
      </c>
      <c r="U6" s="8" t="inlineStr">
        <is>
          <t>NVIDIA NIM - MiniMax M2.7 model card</t>
        </is>
      </c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8" t="inlineStr"/>
      <c r="AE6" s="8" t="inlineStr"/>
      <c r="AF6" s="8" t="inlineStr"/>
      <c r="AG6" s="8" t="inlineStr"/>
      <c r="AH6" s="8" t="inlineStr">
        <is>
          <t>NVIDIA NIM - MiniMax M2.7 model card</t>
        </is>
      </c>
      <c r="AI6" s="8" t="inlineStr"/>
      <c r="AJ6" s="8" t="inlineStr"/>
      <c r="AK6" s="8" t="inlineStr"/>
      <c r="AL6" s="8" t="inlineStr"/>
      <c r="AM6" s="8" t="inlineStr"/>
      <c r="AN6" s="8" t="inlineStr"/>
      <c r="AO6" s="8" t="inlineStr"/>
      <c r="AP6" s="8" t="inlineStr">
        <is>
          <t>NVIDIA NIM - MiniMax M2.7 model card</t>
        </is>
      </c>
      <c r="AQ6" s="8" t="inlineStr"/>
      <c r="AR6" s="8" t="inlineStr"/>
      <c r="AS6" s="8" t="inlineStr"/>
      <c r="AT6" s="8" t="inlineStr">
        <is>
          <t>NVIDIA NIM - MiniMax M2.7 model card</t>
        </is>
      </c>
      <c r="AU6" s="8" t="inlineStr">
        <is>
          <t>NVIDIA NIM - MiniMax M2.7 model card</t>
        </is>
      </c>
      <c r="AV6" s="8" t="inlineStr"/>
    </row>
    <row r="7">
      <c r="A7" s="8" t="inlineStr">
        <is>
          <t>Kimi K2.6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>
        <is>
          <t>Moonshot AI - Kimi K2.6 Hugging Face model card</t>
        </is>
      </c>
      <c r="L7" s="8" t="inlineStr">
        <is>
          <t>Moonshot AI - Kimi K2.6 Hugging Face model card</t>
        </is>
      </c>
      <c r="M7" s="8" t="inlineStr">
        <is>
          <t>Moonshot AI - Kimi K2.6 Hugging Face model card</t>
        </is>
      </c>
      <c r="N7" s="8" t="inlineStr">
        <is>
          <t>Moonshot AI - Kimi K2.6 Hugging Face model card</t>
        </is>
      </c>
      <c r="O7" s="8" t="inlineStr">
        <is>
          <t>Moonshot AI - Kimi K2.6 Hugging Face model card</t>
        </is>
      </c>
      <c r="P7" s="8" t="inlineStr">
        <is>
          <t>Moonshot AI - Kimi K2.6 Hugging Face model card; BenchLM - SWE-bench Pro leaderboard</t>
        </is>
      </c>
      <c r="Q7" s="8" t="inlineStr">
        <is>
          <t>Moonshot AI - Kimi K2.6 Hugging Face model card</t>
        </is>
      </c>
      <c r="R7" s="8" t="inlineStr"/>
      <c r="S7" s="8" t="inlineStr"/>
      <c r="T7" s="8" t="inlineStr"/>
      <c r="U7" s="8" t="inlineStr"/>
      <c r="V7" s="8" t="inlineStr"/>
      <c r="W7" s="8" t="inlineStr">
        <is>
          <t>Moonshot AI - Kimi K2.6 Hugging Face model card</t>
        </is>
      </c>
      <c r="X7" s="8" t="inlineStr">
        <is>
          <t>Moonshot AI - Kimi K2.6 Hugging Face model card</t>
        </is>
      </c>
      <c r="Y7" s="8" t="inlineStr"/>
      <c r="Z7" s="8" t="inlineStr">
        <is>
          <t>Moonshot AI - Kimi K2.6 Hugging Face model card</t>
        </is>
      </c>
      <c r="AA7" s="8" t="inlineStr">
        <is>
          <t>Moonshot AI - Kimi K2.6 Hugging Face model card</t>
        </is>
      </c>
      <c r="AB7" s="8" t="inlineStr"/>
      <c r="AC7" s="8" t="inlineStr"/>
      <c r="AD7" s="8" t="inlineStr">
        <is>
          <t>Moonshot AI - Kimi K2.6 Hugging Face model card</t>
        </is>
      </c>
      <c r="AE7" s="8" t="inlineStr">
        <is>
          <t>Moonshot AI - Kimi K2.6 Hugging Face model card</t>
        </is>
      </c>
      <c r="AF7" s="8" t="inlineStr"/>
      <c r="AG7" s="8" t="inlineStr"/>
      <c r="AH7" s="8" t="inlineStr">
        <is>
          <t>DeepSeek - DeepSeek-V4-Pro Hugging Face model card</t>
        </is>
      </c>
      <c r="AI7" s="8" t="inlineStr"/>
      <c r="AJ7" s="8" t="inlineStr"/>
      <c r="AK7" s="8" t="inlineStr"/>
      <c r="AL7" s="8" t="inlineStr">
        <is>
          <t>Moonshot AI - Kimi K2.6 Hugging Face model card</t>
        </is>
      </c>
      <c r="AM7" s="8" t="inlineStr">
        <is>
          <t>Moonshot AI - Kimi K2.6 Hugging Face model card</t>
        </is>
      </c>
      <c r="AN7" s="8" t="inlineStr"/>
      <c r="AO7" s="8" t="inlineStr">
        <is>
          <t>Moonshot AI - Kimi K2.6 Hugging Face model card</t>
        </is>
      </c>
      <c r="AP7" s="8" t="inlineStr">
        <is>
          <t>Moonshot AI - Kimi K2.6 Hugging Face model card</t>
        </is>
      </c>
      <c r="AQ7" s="8" t="inlineStr"/>
      <c r="AR7" s="8" t="inlineStr"/>
      <c r="AS7" s="8" t="inlineStr"/>
      <c r="AT7" s="8" t="inlineStr"/>
      <c r="AU7" s="8" t="inlineStr"/>
      <c r="AV7" s="8" t="inlineStr"/>
    </row>
    <row r="8">
      <c r="A8" s="8" t="inlineStr">
        <is>
          <t>DeepSeek V4-Pro Max</t>
        </is>
      </c>
      <c r="B8" s="8" t="inlineStr">
        <is>
          <t>DeepSeek - DeepSeek-V4-Pro Hugging Face model card</t>
        </is>
      </c>
      <c r="C8" s="8" t="inlineStr">
        <is>
          <t>DeepSeek - DeepSeek-V4-Pro Hugging Face model card</t>
        </is>
      </c>
      <c r="D8" s="8" t="inlineStr">
        <is>
          <t>DeepSeek - DeepSeek-V4-Pro Hugging Face model card</t>
        </is>
      </c>
      <c r="E8" s="8" t="inlineStr">
        <is>
          <t>DeepSeek - DeepSeek-V4-Pro Hugging Face model card</t>
        </is>
      </c>
      <c r="F8" s="8" t="inlineStr">
        <is>
          <t>DeepSeek - DeepSeek-V4-Pro Hugging Face model card</t>
        </is>
      </c>
      <c r="G8" s="8" t="inlineStr"/>
      <c r="H8" s="8" t="inlineStr"/>
      <c r="I8" s="8" t="inlineStr"/>
      <c r="J8" s="8" t="inlineStr"/>
      <c r="K8" s="8" t="inlineStr">
        <is>
          <t>DeepSeek - DeepSeek-V4-Pro Hugging Face model card</t>
        </is>
      </c>
      <c r="L8" s="8" t="inlineStr"/>
      <c r="M8" s="8" t="inlineStr"/>
      <c r="N8" s="8" t="inlineStr">
        <is>
          <t>DeepSeek - DeepSeek-V4-Pro Hugging Face model card</t>
        </is>
      </c>
      <c r="O8" s="8" t="inlineStr">
        <is>
          <t>DeepSeek - DeepSeek-V4-Pro Hugging Face model card</t>
        </is>
      </c>
      <c r="P8" s="8" t="inlineStr">
        <is>
          <t>DeepSeek - DeepSeek-V4-Pro Hugging Face model card; BenchLM - SWE-bench Pro leaderboard</t>
        </is>
      </c>
      <c r="Q8" s="8" t="inlineStr">
        <is>
          <t>DeepSeek - DeepSeek-V4-Pro Hugging Face model card</t>
        </is>
      </c>
      <c r="R8" s="8" t="inlineStr"/>
      <c r="S8" s="8" t="inlineStr"/>
      <c r="T8" s="8" t="inlineStr"/>
      <c r="U8" s="8" t="inlineStr"/>
      <c r="V8" s="8" t="inlineStr">
        <is>
          <t>DeepSeek - DeepSeek-V4-Pro Hugging Face model card</t>
        </is>
      </c>
      <c r="W8" s="8" t="inlineStr">
        <is>
          <t>DeepSeek - DeepSeek-V4-Pro Hugging Face model card</t>
        </is>
      </c>
      <c r="X8" s="8" t="inlineStr"/>
      <c r="Y8" s="8" t="inlineStr"/>
      <c r="Z8" s="8" t="inlineStr">
        <is>
          <t>DeepSeek - DeepSeek-V4-Pro Hugging Face model card</t>
        </is>
      </c>
      <c r="AA8" s="8" t="inlineStr">
        <is>
          <t>DeepSeek - DeepSeek-V4-Pro Hugging Face model card</t>
        </is>
      </c>
      <c r="AB8" s="8" t="inlineStr"/>
      <c r="AC8" s="8" t="inlineStr"/>
      <c r="AD8" s="8" t="inlineStr">
        <is>
          <t>DeepSeek - DeepSeek-V4-Pro Hugging Face model card</t>
        </is>
      </c>
      <c r="AE8" s="8" t="inlineStr">
        <is>
          <t>DeepSeek - DeepSeek-V4-Pro Hugging Face model card</t>
        </is>
      </c>
      <c r="AF8" s="8" t="inlineStr"/>
      <c r="AG8" s="8" t="inlineStr"/>
      <c r="AH8" s="8" t="inlineStr">
        <is>
          <t>DeepSeek - DeepSeek-V4-Pro Hugging Face model card</t>
        </is>
      </c>
      <c r="AI8" s="8" t="inlineStr"/>
      <c r="AJ8" s="8" t="inlineStr"/>
      <c r="AK8" s="8" t="inlineStr"/>
      <c r="AL8" s="8" t="inlineStr"/>
      <c r="AM8" s="8" t="inlineStr">
        <is>
          <t>DeepSeek - DeepSeek-V4-Pro Hugging Face model card</t>
        </is>
      </c>
      <c r="AN8" s="8" t="inlineStr"/>
      <c r="AO8" s="8" t="inlineStr"/>
      <c r="AP8" s="8" t="inlineStr">
        <is>
          <t>DeepSeek - DeepSeek-V4-Pro Hugging Face model card</t>
        </is>
      </c>
      <c r="AQ8" s="8" t="inlineStr"/>
      <c r="AR8" s="8" t="inlineStr">
        <is>
          <t>DeepSeek - DeepSeek-V4-Pro Hugging Face model card</t>
        </is>
      </c>
      <c r="AS8" s="8" t="inlineStr"/>
      <c r="AT8" s="8" t="inlineStr"/>
      <c r="AU8" s="8" t="inlineStr"/>
      <c r="AV8" s="8" t="inlineStr"/>
    </row>
    <row r="9">
      <c r="A9" s="8" t="inlineStr">
        <is>
          <t>GLM-5.1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>
        <is>
          <t>NVIDIA NIM - GLM-5.1 model card</t>
        </is>
      </c>
      <c r="O9" s="8" t="inlineStr"/>
      <c r="P9" s="8" t="inlineStr">
        <is>
          <t>NVIDIA NIM - GLM-5.1 model card; BenchLM - SWE-bench Pro leaderboard</t>
        </is>
      </c>
      <c r="Q9" s="8" t="inlineStr"/>
      <c r="R9" s="8" t="inlineStr"/>
      <c r="S9" s="8" t="inlineStr"/>
      <c r="T9" s="8" t="inlineStr">
        <is>
          <t>NVIDIA NIM - GLM-5.1 model card</t>
        </is>
      </c>
      <c r="U9" s="8" t="inlineStr"/>
      <c r="V9" s="8" t="inlineStr"/>
      <c r="W9" s="8" t="inlineStr">
        <is>
          <t>NVIDIA NIM - GLM-5.1 model card</t>
        </is>
      </c>
      <c r="X9" s="8" t="inlineStr">
        <is>
          <t>NVIDIA NIM - GLM-5.1 model card</t>
        </is>
      </c>
      <c r="Y9" s="8" t="inlineStr">
        <is>
          <t>NVIDIA NIM - GLM-5.1 model card</t>
        </is>
      </c>
      <c r="Z9" s="8" t="inlineStr">
        <is>
          <t>NVIDIA NIM - GLM-5.1 model card</t>
        </is>
      </c>
      <c r="AA9" s="8" t="inlineStr">
        <is>
          <t>NVIDIA NIM - GLM-5.1 model card</t>
        </is>
      </c>
      <c r="AB9" s="8" t="inlineStr"/>
      <c r="AC9" s="8" t="inlineStr"/>
      <c r="AD9" s="8" t="inlineStr">
        <is>
          <t>NVIDIA NIM - GLM-5.1 model card</t>
        </is>
      </c>
      <c r="AE9" s="8" t="inlineStr">
        <is>
          <t>NVIDIA NIM - GLM-5.1 model card</t>
        </is>
      </c>
      <c r="AF9" s="8" t="inlineStr"/>
      <c r="AG9" s="8" t="inlineStr"/>
      <c r="AH9" s="8" t="inlineStr">
        <is>
          <t>DeepSeek - DeepSeek-V4-Pro Hugging Face model card</t>
        </is>
      </c>
      <c r="AI9" s="8" t="inlineStr"/>
      <c r="AJ9" s="8" t="inlineStr"/>
      <c r="AK9" s="8" t="inlineStr"/>
      <c r="AL9" s="8" t="inlineStr"/>
      <c r="AM9" s="8" t="inlineStr">
        <is>
          <t>NVIDIA NIM - GLM-5.1 model card</t>
        </is>
      </c>
      <c r="AN9" s="8" t="inlineStr">
        <is>
          <t>NVIDIA NIM - GLM-5.1 model card</t>
        </is>
      </c>
      <c r="AO9" s="8" t="inlineStr"/>
      <c r="AP9" s="8" t="inlineStr"/>
      <c r="AQ9" s="8" t="inlineStr">
        <is>
          <t>NVIDIA NIM - GLM-5.1 model card</t>
        </is>
      </c>
      <c r="AR9" s="8" t="inlineStr">
        <is>
          <t>NVIDIA NIM - GLM-5.1 model card</t>
        </is>
      </c>
      <c r="AS9" s="8" t="inlineStr">
        <is>
          <t>NVIDIA NIM - GLM-5.1 model card</t>
        </is>
      </c>
      <c r="AT9" s="8" t="inlineStr"/>
      <c r="AU9" s="8" t="inlineStr"/>
      <c r="AV9" s="8" t="inlineStr">
        <is>
          <t>NVIDIA NIM - GLM-5.1 model card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  <col width="21" customWidth="1" min="3" max="3"/>
    <col width="12" customWidth="1" min="4" max="4"/>
    <col width="16" customWidth="1" min="5" max="5"/>
    <col width="36" customWidth="1" min="6" max="6"/>
    <col width="65" customWidth="1" min="7" max="7"/>
    <col width="65" customWidth="1" min="8" max="8"/>
  </cols>
  <sheetData>
    <row r="1">
      <c r="A1" s="7" t="inlineStr">
        <is>
          <t>Category</t>
        </is>
      </c>
      <c r="B1" s="7" t="inlineStr">
        <is>
          <t>Benchmark</t>
        </is>
      </c>
      <c r="C1" s="7" t="inlineStr">
        <is>
          <t>Model</t>
        </is>
      </c>
      <c r="D1" s="7" t="inlineStr">
        <is>
          <t>Score</t>
        </is>
      </c>
      <c r="E1" s="7" t="inlineStr">
        <is>
          <t>Unit</t>
        </is>
      </c>
      <c r="F1" s="7" t="inlineStr">
        <is>
          <t>Source ID</t>
        </is>
      </c>
      <c r="G1" s="7" t="inlineStr">
        <is>
          <t>Source Name</t>
        </is>
      </c>
      <c r="H1" s="7" t="inlineStr">
        <is>
          <t>Note</t>
        </is>
      </c>
    </row>
    <row r="2">
      <c r="A2" s="8" t="inlineStr">
        <is>
          <t>Coding</t>
        </is>
      </c>
      <c r="B2" s="8" t="inlineStr">
        <is>
          <t>SWE-Bench Pro</t>
        </is>
      </c>
      <c r="C2" s="8" t="inlineStr">
        <is>
          <t>ChatGPT 5.5</t>
        </is>
      </c>
      <c r="D2" s="8" t="n">
        <v>58.6</v>
      </c>
      <c r="E2" s="8" t="inlineStr">
        <is>
          <t>% resolved</t>
        </is>
      </c>
      <c r="F2" s="8" t="inlineStr">
        <is>
          <t>openai_gpt55; benchlm_swepro</t>
        </is>
      </c>
      <c r="G2" s="8" t="inlineStr">
        <is>
          <t>OpenAI - Introducing GPT-5.5; BenchLM - SWE-bench Pro leaderboard</t>
        </is>
      </c>
      <c r="H2" s="8" t="inlineStr">
        <is>
          <t>Real GitHub issue resolution.</t>
        </is>
      </c>
    </row>
    <row r="3">
      <c r="A3" s="8" t="inlineStr">
        <is>
          <t>Coding</t>
        </is>
      </c>
      <c r="B3" s="8" t="inlineStr">
        <is>
          <t>Terminal-Bench 2.0</t>
        </is>
      </c>
      <c r="C3" s="8" t="inlineStr">
        <is>
          <t>ChatGPT 5.5</t>
        </is>
      </c>
      <c r="D3" s="8" t="n">
        <v>82.7</v>
      </c>
      <c r="E3" s="8" t="inlineStr">
        <is>
          <t>% accuracy</t>
        </is>
      </c>
      <c r="F3" s="8" t="inlineStr">
        <is>
          <t>openai_gpt55</t>
        </is>
      </c>
      <c r="G3" s="8" t="inlineStr">
        <is>
          <t>OpenAI - Introducing GPT-5.5</t>
        </is>
      </c>
      <c r="H3" s="8" t="inlineStr">
        <is>
          <t>Command-line engineering workflows.</t>
        </is>
      </c>
    </row>
    <row r="4">
      <c r="A4" s="8" t="inlineStr">
        <is>
          <t>Writing &amp; Knowledge</t>
        </is>
      </c>
      <c r="B4" s="8" t="inlineStr">
        <is>
          <t>GDPval</t>
        </is>
      </c>
      <c r="C4" s="8" t="inlineStr">
        <is>
          <t>ChatGPT 5.5</t>
        </is>
      </c>
      <c r="D4" s="8" t="n">
        <v>84.90000000000001</v>
      </c>
      <c r="E4" s="8" t="inlineStr">
        <is>
          <t>% wins or ties</t>
        </is>
      </c>
      <c r="F4" s="8" t="inlineStr">
        <is>
          <t>openai_gpt55</t>
        </is>
      </c>
      <c r="G4" s="8" t="inlineStr">
        <is>
          <t>OpenAI - Introducing GPT-5.5</t>
        </is>
      </c>
      <c r="H4" s="8" t="inlineStr">
        <is>
          <t>Knowledge-work tasks across occupations.</t>
        </is>
      </c>
    </row>
    <row r="5">
      <c r="A5" s="8" t="inlineStr">
        <is>
          <t>Agentic &amp; Other</t>
        </is>
      </c>
      <c r="B5" s="8" t="inlineStr">
        <is>
          <t>OSWorld-Verified</t>
        </is>
      </c>
      <c r="C5" s="8" t="inlineStr">
        <is>
          <t>ChatGPT 5.5</t>
        </is>
      </c>
      <c r="D5" s="8" t="n">
        <v>78.7</v>
      </c>
      <c r="E5" s="8" t="inlineStr">
        <is>
          <t>% success</t>
        </is>
      </c>
      <c r="F5" s="8" t="inlineStr">
        <is>
          <t>openai_gpt55</t>
        </is>
      </c>
      <c r="G5" s="8" t="inlineStr">
        <is>
          <t>OpenAI - Introducing GPT-5.5</t>
        </is>
      </c>
      <c r="H5" s="8" t="inlineStr">
        <is>
          <t>Computer-use productivity tasks.</t>
        </is>
      </c>
    </row>
    <row r="6">
      <c r="A6" s="8" t="inlineStr">
        <is>
          <t>Agentic &amp; Other</t>
        </is>
      </c>
      <c r="B6" s="8" t="inlineStr">
        <is>
          <t>Toolathlon</t>
        </is>
      </c>
      <c r="C6" s="8" t="inlineStr">
        <is>
          <t>ChatGPT 5.5</t>
        </is>
      </c>
      <c r="D6" s="8" t="n">
        <v>55.6</v>
      </c>
      <c r="E6" s="8" t="inlineStr">
        <is>
          <t>% pass</t>
        </is>
      </c>
      <c r="F6" s="8" t="inlineStr">
        <is>
          <t>openai_gpt55</t>
        </is>
      </c>
      <c r="G6" s="8" t="inlineStr">
        <is>
          <t>OpenAI - Introducing GPT-5.5</t>
        </is>
      </c>
      <c r="H6" s="8" t="inlineStr">
        <is>
          <t>Tool-use benchmark.</t>
        </is>
      </c>
    </row>
    <row r="7">
      <c r="A7" s="8" t="inlineStr">
        <is>
          <t>Agentic &amp; Other</t>
        </is>
      </c>
      <c r="B7" s="8" t="inlineStr">
        <is>
          <t>BrowseComp</t>
        </is>
      </c>
      <c r="C7" s="8" t="inlineStr">
        <is>
          <t>ChatGPT 5.5</t>
        </is>
      </c>
      <c r="D7" s="8" t="n">
        <v>84.40000000000001</v>
      </c>
      <c r="E7" s="8" t="inlineStr">
        <is>
          <t>% pass</t>
        </is>
      </c>
      <c r="F7" s="8" t="inlineStr">
        <is>
          <t>openai_gpt55</t>
        </is>
      </c>
      <c r="G7" s="8" t="inlineStr">
        <is>
          <t>OpenAI - Introducing GPT-5.5</t>
        </is>
      </c>
      <c r="H7" s="8" t="inlineStr">
        <is>
          <t>Difficult web browsing and retrieval.</t>
        </is>
      </c>
    </row>
    <row r="8">
      <c r="A8" s="8" t="inlineStr">
        <is>
          <t>Math &amp; Reasoning</t>
        </is>
      </c>
      <c r="B8" s="8" t="inlineStr">
        <is>
          <t>FrontierMath Tier 1-3</t>
        </is>
      </c>
      <c r="C8" s="8" t="inlineStr">
        <is>
          <t>ChatGPT 5.5</t>
        </is>
      </c>
      <c r="D8" s="8" t="n">
        <v>51.7</v>
      </c>
      <c r="E8" s="8" t="inlineStr">
        <is>
          <t>% pass</t>
        </is>
      </c>
      <c r="F8" s="8" t="inlineStr">
        <is>
          <t>openai_gpt55</t>
        </is>
      </c>
      <c r="G8" s="8" t="inlineStr">
        <is>
          <t>OpenAI - Introducing GPT-5.5</t>
        </is>
      </c>
      <c r="H8" s="8" t="inlineStr">
        <is>
          <t>Advanced frontier math.</t>
        </is>
      </c>
    </row>
    <row r="9">
      <c r="A9" s="8" t="inlineStr">
        <is>
          <t>Math &amp; Reasoning</t>
        </is>
      </c>
      <c r="B9" s="8" t="inlineStr">
        <is>
          <t>FrontierMath Tier 4</t>
        </is>
      </c>
      <c r="C9" s="8" t="inlineStr">
        <is>
          <t>ChatGPT 5.5</t>
        </is>
      </c>
      <c r="D9" s="8" t="n">
        <v>35.4</v>
      </c>
      <c r="E9" s="8" t="inlineStr">
        <is>
          <t>% pass</t>
        </is>
      </c>
      <c r="F9" s="8" t="inlineStr">
        <is>
          <t>openai_gpt55</t>
        </is>
      </c>
      <c r="G9" s="8" t="inlineStr">
        <is>
          <t>OpenAI - Introducing GPT-5.5</t>
        </is>
      </c>
      <c r="H9" s="8" t="inlineStr">
        <is>
          <t>Harder frontier math tier.</t>
        </is>
      </c>
    </row>
    <row r="10">
      <c r="A10" s="8" t="inlineStr">
        <is>
          <t>Agentic &amp; Other</t>
        </is>
      </c>
      <c r="B10" s="8" t="inlineStr">
        <is>
          <t>CyberGym</t>
        </is>
      </c>
      <c r="C10" s="8" t="inlineStr">
        <is>
          <t>ChatGPT 5.5</t>
        </is>
      </c>
      <c r="D10" s="8" t="n">
        <v>81.8</v>
      </c>
      <c r="E10" s="8" t="inlineStr">
        <is>
          <t>% score</t>
        </is>
      </c>
      <c r="F10" s="8" t="inlineStr">
        <is>
          <t>openai_gpt55</t>
        </is>
      </c>
      <c r="G10" s="8" t="inlineStr">
        <is>
          <t>OpenAI - Introducing GPT-5.5</t>
        </is>
      </c>
      <c r="H10" s="8" t="inlineStr">
        <is>
          <t>Cybersecurity challenge suite.</t>
        </is>
      </c>
    </row>
    <row r="11">
      <c r="A11" s="8" t="inlineStr">
        <is>
          <t>Coding</t>
        </is>
      </c>
      <c r="B11" s="8" t="inlineStr">
        <is>
          <t>SWE-Bench Pro</t>
        </is>
      </c>
      <c r="C11" s="8" t="inlineStr">
        <is>
          <t>ChatGPT 5.3 Codex</t>
        </is>
      </c>
      <c r="D11" s="8" t="n">
        <v>56.8</v>
      </c>
      <c r="E11" s="8" t="inlineStr">
        <is>
          <t>% resolved</t>
        </is>
      </c>
      <c r="F11" s="8" t="inlineStr">
        <is>
          <t>openai_gpt53_codex; benchlm_swepro</t>
        </is>
      </c>
      <c r="G11" s="8" t="inlineStr">
        <is>
          <t>OpenAI - Introducing GPT-5.3-Codex; BenchLM - SWE-bench Pro leaderboard</t>
        </is>
      </c>
      <c r="H11" s="8" t="inlineStr">
        <is>
          <t>Real GitHub issue resolution.</t>
        </is>
      </c>
    </row>
    <row r="12">
      <c r="A12" s="8" t="inlineStr">
        <is>
          <t>Coding</t>
        </is>
      </c>
      <c r="B12" s="8" t="inlineStr">
        <is>
          <t>Terminal-Bench 2.0</t>
        </is>
      </c>
      <c r="C12" s="8" t="inlineStr">
        <is>
          <t>ChatGPT 5.3 Codex</t>
        </is>
      </c>
      <c r="D12" s="8" t="n">
        <v>77.3</v>
      </c>
      <c r="E12" s="8" t="inlineStr">
        <is>
          <t>% accuracy</t>
        </is>
      </c>
      <c r="F12" s="8" t="inlineStr">
        <is>
          <t>openai_gpt53_codex</t>
        </is>
      </c>
      <c r="G12" s="8" t="inlineStr">
        <is>
          <t>OpenAI - Introducing GPT-5.3-Codex</t>
        </is>
      </c>
      <c r="H12" s="8" t="inlineStr">
        <is>
          <t>Command-line engineering workflows.</t>
        </is>
      </c>
    </row>
    <row r="13">
      <c r="A13" s="8" t="inlineStr">
        <is>
          <t>Agentic &amp; Other</t>
        </is>
      </c>
      <c r="B13" s="8" t="inlineStr">
        <is>
          <t>OSWorld-Verified</t>
        </is>
      </c>
      <c r="C13" s="8" t="inlineStr">
        <is>
          <t>ChatGPT 5.3 Codex</t>
        </is>
      </c>
      <c r="D13" s="8" t="n">
        <v>64.7</v>
      </c>
      <c r="E13" s="8" t="inlineStr">
        <is>
          <t>% success</t>
        </is>
      </c>
      <c r="F13" s="8" t="inlineStr">
        <is>
          <t>openai_gpt53_codex</t>
        </is>
      </c>
      <c r="G13" s="8" t="inlineStr">
        <is>
          <t>OpenAI - Introducing GPT-5.3-Codex</t>
        </is>
      </c>
      <c r="H13" s="8" t="inlineStr">
        <is>
          <t>Computer-use productivity tasks.</t>
        </is>
      </c>
    </row>
    <row r="14">
      <c r="A14" s="8" t="inlineStr">
        <is>
          <t>Writing &amp; Knowledge</t>
        </is>
      </c>
      <c r="B14" s="8" t="inlineStr">
        <is>
          <t>GDPval</t>
        </is>
      </c>
      <c r="C14" s="8" t="inlineStr">
        <is>
          <t>ChatGPT 5.3 Codex</t>
        </is>
      </c>
      <c r="D14" s="8" t="n">
        <v>70.90000000000001</v>
      </c>
      <c r="E14" s="8" t="inlineStr">
        <is>
          <t>% wins or ties</t>
        </is>
      </c>
      <c r="F14" s="8" t="inlineStr">
        <is>
          <t>openai_gpt53_codex</t>
        </is>
      </c>
      <c r="G14" s="8" t="inlineStr">
        <is>
          <t>OpenAI - Introducing GPT-5.3-Codex</t>
        </is>
      </c>
      <c r="H14" s="8" t="inlineStr">
        <is>
          <t>Knowledge-work tasks across occupations.</t>
        </is>
      </c>
    </row>
    <row r="15">
      <c r="A15" s="8" t="inlineStr">
        <is>
          <t>Agentic &amp; Other</t>
        </is>
      </c>
      <c r="B15" s="8" t="inlineStr">
        <is>
          <t>CyberGym</t>
        </is>
      </c>
      <c r="C15" s="8" t="inlineStr">
        <is>
          <t>ChatGPT 5.3 Codex</t>
        </is>
      </c>
      <c r="D15" s="8" t="n">
        <v>77.59999999999999</v>
      </c>
      <c r="E15" s="8" t="inlineStr">
        <is>
          <t>% score</t>
        </is>
      </c>
      <c r="F15" s="8" t="inlineStr">
        <is>
          <t>openai_gpt53_codex</t>
        </is>
      </c>
      <c r="G15" s="8" t="inlineStr">
        <is>
          <t>OpenAI - Introducing GPT-5.3-Codex</t>
        </is>
      </c>
      <c r="H15" s="8" t="inlineStr">
        <is>
          <t>Cybersecurity challenge suite.</t>
        </is>
      </c>
    </row>
    <row r="16">
      <c r="A16" s="8" t="inlineStr">
        <is>
          <t>Coding</t>
        </is>
      </c>
      <c r="B16" s="8" t="inlineStr">
        <is>
          <t>SWE-Lancer IC Diamond</t>
        </is>
      </c>
      <c r="C16" s="8" t="inlineStr">
        <is>
          <t>ChatGPT 5.3 Codex</t>
        </is>
      </c>
      <c r="D16" s="8" t="n">
        <v>81.40000000000001</v>
      </c>
      <c r="E16" s="8" t="inlineStr">
        <is>
          <t>% score</t>
        </is>
      </c>
      <c r="F16" s="8" t="inlineStr">
        <is>
          <t>openai_gpt53_codex</t>
        </is>
      </c>
      <c r="G16" s="8" t="inlineStr">
        <is>
          <t>OpenAI - Introducing GPT-5.3-Codex</t>
        </is>
      </c>
      <c r="H16" s="8" t="inlineStr">
        <is>
          <t>Freelance-style software tasks.</t>
        </is>
      </c>
    </row>
    <row r="17">
      <c r="A17" s="8" t="inlineStr">
        <is>
          <t>Coding</t>
        </is>
      </c>
      <c r="B17" s="8" t="inlineStr">
        <is>
          <t>SWE-Bench Pro</t>
        </is>
      </c>
      <c r="C17" s="8" t="inlineStr">
        <is>
          <t>Claude Opus 4.7</t>
        </is>
      </c>
      <c r="D17" s="8" t="n">
        <v>64.3</v>
      </c>
      <c r="E17" s="8" t="inlineStr">
        <is>
          <t>% resolved</t>
        </is>
      </c>
      <c r="F17" s="8" t="inlineStr">
        <is>
          <t>benchlm_swepro; hokai_opus47</t>
        </is>
      </c>
      <c r="G17" s="8" t="inlineStr">
        <is>
          <t>BenchLM - SWE-bench Pro leaderboard; Hokai - Claude Opus 4.7 benchmark summary</t>
        </is>
      </c>
      <c r="H17" s="8" t="inlineStr">
        <is>
          <t>Harder SWE-bench variant.</t>
        </is>
      </c>
    </row>
    <row r="18">
      <c r="A18" s="8" t="inlineStr">
        <is>
          <t>Coding</t>
        </is>
      </c>
      <c r="B18" s="8" t="inlineStr">
        <is>
          <t>SWE-Bench Verified</t>
        </is>
      </c>
      <c r="C18" s="8" t="inlineStr">
        <is>
          <t>Claude Opus 4.7</t>
        </is>
      </c>
      <c r="D18" s="8" t="n">
        <v>87.59999999999999</v>
      </c>
      <c r="E18" s="8" t="inlineStr">
        <is>
          <t>% resolved</t>
        </is>
      </c>
      <c r="F18" s="8" t="inlineStr">
        <is>
          <t>hokai_opus47</t>
        </is>
      </c>
      <c r="G18" s="8" t="inlineStr">
        <is>
          <t>Hokai - Claude Opus 4.7 benchmark summary</t>
        </is>
      </c>
      <c r="H18" s="8" t="inlineStr">
        <is>
          <t>Human-validated SWE-bench subset.</t>
        </is>
      </c>
    </row>
    <row r="19">
      <c r="A19" s="8" t="inlineStr">
        <is>
          <t>Coding</t>
        </is>
      </c>
      <c r="B19" s="8" t="inlineStr">
        <is>
          <t>Terminal-Bench 2.0</t>
        </is>
      </c>
      <c r="C19" s="8" t="inlineStr">
        <is>
          <t>Claude Opus 4.7</t>
        </is>
      </c>
      <c r="D19" s="8" t="n">
        <v>69.40000000000001</v>
      </c>
      <c r="E19" s="8" t="inlineStr">
        <is>
          <t>% accuracy</t>
        </is>
      </c>
      <c r="F19" s="8" t="inlineStr">
        <is>
          <t>openai_gpt55</t>
        </is>
      </c>
      <c r="G19" s="8" t="inlineStr">
        <is>
          <t>OpenAI - Introducing GPT-5.5</t>
        </is>
      </c>
      <c r="H19" s="8" t="inlineStr">
        <is>
          <t>Reported in OpenAI ChatGPT 5.5 comparison table.</t>
        </is>
      </c>
    </row>
    <row r="20">
      <c r="A20" s="8" t="inlineStr">
        <is>
          <t>Math &amp; Reasoning</t>
        </is>
      </c>
      <c r="B20" s="8" t="inlineStr">
        <is>
          <t>GPQA-Diamond</t>
        </is>
      </c>
      <c r="C20" s="8" t="inlineStr">
        <is>
          <t>Claude Opus 4.7</t>
        </is>
      </c>
      <c r="D20" s="8" t="n">
        <v>94.2</v>
      </c>
      <c r="E20" s="8" t="inlineStr">
        <is>
          <t>% accuracy</t>
        </is>
      </c>
      <c r="F20" s="8" t="inlineStr">
        <is>
          <t>hokai_opus47</t>
        </is>
      </c>
      <c r="G20" s="8" t="inlineStr">
        <is>
          <t>Hokai - Claude Opus 4.7 benchmark summary</t>
        </is>
      </c>
      <c r="H20" s="8" t="inlineStr">
        <is>
          <t>PhD-level science Q&amp;A.</t>
        </is>
      </c>
    </row>
    <row r="21">
      <c r="A21" s="8" t="inlineStr">
        <is>
          <t>Math &amp; Reasoning</t>
        </is>
      </c>
      <c r="B21" s="8" t="inlineStr">
        <is>
          <t>AIME 2026</t>
        </is>
      </c>
      <c r="C21" s="8" t="inlineStr">
        <is>
          <t>Claude Opus 4.7</t>
        </is>
      </c>
      <c r="D21" s="8" t="n">
        <v>90</v>
      </c>
      <c r="E21" s="8" t="inlineStr">
        <is>
          <t>% accuracy</t>
        </is>
      </c>
      <c r="F21" s="8" t="inlineStr">
        <is>
          <t>layerlens_opus47_aime</t>
        </is>
      </c>
      <c r="G21" s="8" t="inlineStr">
        <is>
          <t>LayerLens - Claude Opus 4.7 on AIME 2026</t>
        </is>
      </c>
      <c r="H21" s="8" t="inlineStr">
        <is>
          <t>Competition math; independent/aggregated source.</t>
        </is>
      </c>
    </row>
    <row r="22">
      <c r="A22" s="8" t="inlineStr">
        <is>
          <t>Math &amp; Reasoning</t>
        </is>
      </c>
      <c r="B22" s="8" t="inlineStr">
        <is>
          <t>FrontierMath Tier 1-3</t>
        </is>
      </c>
      <c r="C22" s="8" t="inlineStr">
        <is>
          <t>Claude Opus 4.7</t>
        </is>
      </c>
      <c r="D22" s="8" t="n">
        <v>43.8</v>
      </c>
      <c r="E22" s="8" t="inlineStr">
        <is>
          <t>% pass</t>
        </is>
      </c>
      <c r="F22" s="8" t="inlineStr">
        <is>
          <t>openai_gpt55</t>
        </is>
      </c>
      <c r="G22" s="8" t="inlineStr">
        <is>
          <t>OpenAI - Introducing GPT-5.5</t>
        </is>
      </c>
      <c r="H22" s="8" t="inlineStr">
        <is>
          <t>OpenAI comparison table.</t>
        </is>
      </c>
    </row>
    <row r="23">
      <c r="A23" s="8" t="inlineStr">
        <is>
          <t>Math &amp; Reasoning</t>
        </is>
      </c>
      <c r="B23" s="8" t="inlineStr">
        <is>
          <t>FrontierMath Tier 4</t>
        </is>
      </c>
      <c r="C23" s="8" t="inlineStr">
        <is>
          <t>Claude Opus 4.7</t>
        </is>
      </c>
      <c r="D23" s="8" t="n">
        <v>22.9</v>
      </c>
      <c r="E23" s="8" t="inlineStr">
        <is>
          <t>% pass</t>
        </is>
      </c>
      <c r="F23" s="8" t="inlineStr">
        <is>
          <t>openai_gpt55</t>
        </is>
      </c>
      <c r="G23" s="8" t="inlineStr">
        <is>
          <t>OpenAI - Introducing GPT-5.5</t>
        </is>
      </c>
      <c r="H23" s="8" t="inlineStr">
        <is>
          <t>OpenAI comparison table.</t>
        </is>
      </c>
    </row>
    <row r="24">
      <c r="A24" s="8" t="inlineStr">
        <is>
          <t>Writing &amp; Knowledge</t>
        </is>
      </c>
      <c r="B24" s="8" t="inlineStr">
        <is>
          <t>GDPval</t>
        </is>
      </c>
      <c r="C24" s="8" t="inlineStr">
        <is>
          <t>Claude Opus 4.7</t>
        </is>
      </c>
      <c r="D24" s="8" t="n">
        <v>80.3</v>
      </c>
      <c r="E24" s="8" t="inlineStr">
        <is>
          <t>% wins or ties</t>
        </is>
      </c>
      <c r="F24" s="8" t="inlineStr">
        <is>
          <t>openai_gpt55</t>
        </is>
      </c>
      <c r="G24" s="8" t="inlineStr">
        <is>
          <t>OpenAI - Introducing GPT-5.5</t>
        </is>
      </c>
      <c r="H24" s="8" t="inlineStr">
        <is>
          <t>OpenAI comparison table.</t>
        </is>
      </c>
    </row>
    <row r="25">
      <c r="A25" s="8" t="inlineStr">
        <is>
          <t>Writing &amp; Knowledge</t>
        </is>
      </c>
      <c r="B25" s="8" t="inlineStr">
        <is>
          <t>GDPval-AA</t>
        </is>
      </c>
      <c r="C25" s="8" t="inlineStr">
        <is>
          <t>Claude Opus 4.7</t>
        </is>
      </c>
      <c r="D25" s="8" t="n">
        <v>1753</v>
      </c>
      <c r="E25" s="8" t="inlineStr">
        <is>
          <t>Elo</t>
        </is>
      </c>
      <c r="F25" s="8" t="inlineStr">
        <is>
          <t>aa_opus47</t>
        </is>
      </c>
      <c r="G25" s="8" t="inlineStr">
        <is>
          <t>Artificial Analysis - Opus 4.7 analysis</t>
        </is>
      </c>
      <c r="H25" s="8" t="inlineStr">
        <is>
          <t>Artificial Analysis agentic knowledge-work Elo.</t>
        </is>
      </c>
    </row>
    <row r="26">
      <c r="A26" s="8" t="inlineStr">
        <is>
          <t>Agentic &amp; Other</t>
        </is>
      </c>
      <c r="B26" s="8" t="inlineStr">
        <is>
          <t>OSWorld-Verified</t>
        </is>
      </c>
      <c r="C26" s="8" t="inlineStr">
        <is>
          <t>Claude Opus 4.7</t>
        </is>
      </c>
      <c r="D26" s="8" t="n">
        <v>78</v>
      </c>
      <c r="E26" s="8" t="inlineStr">
        <is>
          <t>% success</t>
        </is>
      </c>
      <c r="F26" s="8" t="inlineStr">
        <is>
          <t>openai_gpt55; hokai_opus47</t>
        </is>
      </c>
      <c r="G26" s="8" t="inlineStr">
        <is>
          <t>OpenAI - Introducing GPT-5.5; Hokai - Claude Opus 4.7 benchmark summary</t>
        </is>
      </c>
      <c r="H26" s="8" t="inlineStr">
        <is>
          <t>Computer-use productivity tasks.</t>
        </is>
      </c>
    </row>
    <row r="27">
      <c r="A27" s="8" t="inlineStr">
        <is>
          <t>Agentic &amp; Other</t>
        </is>
      </c>
      <c r="B27" s="8" t="inlineStr">
        <is>
          <t>BrowseComp</t>
        </is>
      </c>
      <c r="C27" s="8" t="inlineStr">
        <is>
          <t>Claude Opus 4.7</t>
        </is>
      </c>
      <c r="D27" s="8" t="n">
        <v>79.3</v>
      </c>
      <c r="E27" s="8" t="inlineStr">
        <is>
          <t>% pass</t>
        </is>
      </c>
      <c r="F27" s="8" t="inlineStr">
        <is>
          <t>openai_gpt55</t>
        </is>
      </c>
      <c r="G27" s="8" t="inlineStr">
        <is>
          <t>OpenAI - Introducing GPT-5.5</t>
        </is>
      </c>
      <c r="H27" s="8" t="inlineStr">
        <is>
          <t>Web browsing and retrieval.</t>
        </is>
      </c>
    </row>
    <row r="28">
      <c r="A28" s="8" t="inlineStr">
        <is>
          <t>Agentic &amp; Other</t>
        </is>
      </c>
      <c r="B28" s="8" t="inlineStr">
        <is>
          <t>CyberGym</t>
        </is>
      </c>
      <c r="C28" s="8" t="inlineStr">
        <is>
          <t>Claude Opus 4.7</t>
        </is>
      </c>
      <c r="D28" s="8" t="n">
        <v>73.09999999999999</v>
      </c>
      <c r="E28" s="8" t="inlineStr">
        <is>
          <t>% score</t>
        </is>
      </c>
      <c r="F28" s="8" t="inlineStr">
        <is>
          <t>openai_gpt55</t>
        </is>
      </c>
      <c r="G28" s="8" t="inlineStr">
        <is>
          <t>OpenAI - Introducing GPT-5.5</t>
        </is>
      </c>
      <c r="H28" s="8" t="inlineStr">
        <is>
          <t>Cybersecurity challenge suite.</t>
        </is>
      </c>
    </row>
    <row r="29">
      <c r="A29" s="8" t="inlineStr">
        <is>
          <t>Agentic &amp; Other</t>
        </is>
      </c>
      <c r="B29" s="8" t="inlineStr">
        <is>
          <t>MCP-Atlas Public</t>
        </is>
      </c>
      <c r="C29" s="8" t="inlineStr">
        <is>
          <t>Claude Opus 4.7</t>
        </is>
      </c>
      <c r="D29" s="8" t="n">
        <v>77.3</v>
      </c>
      <c r="E29" s="8" t="inlineStr">
        <is>
          <t>% pass</t>
        </is>
      </c>
      <c r="F29" s="8" t="inlineStr">
        <is>
          <t>hokai_opus47</t>
        </is>
      </c>
      <c r="G29" s="8" t="inlineStr">
        <is>
          <t>Hokai - Claude Opus 4.7 benchmark summary</t>
        </is>
      </c>
      <c r="H29" s="8" t="inlineStr">
        <is>
          <t>Multi-tool orchestration.</t>
        </is>
      </c>
    </row>
    <row r="30">
      <c r="A30" s="8" t="inlineStr">
        <is>
          <t>Agentic &amp; Other</t>
        </is>
      </c>
      <c r="B30" s="8" t="inlineStr">
        <is>
          <t>HLE w/ tools</t>
        </is>
      </c>
      <c r="C30" s="8" t="inlineStr">
        <is>
          <t>Claude Opus 4.7</t>
        </is>
      </c>
      <c r="D30" s="8" t="n">
        <v>54.7</v>
      </c>
      <c r="E30" s="8" t="inlineStr">
        <is>
          <t>% pass</t>
        </is>
      </c>
      <c r="F30" s="8" t="inlineStr">
        <is>
          <t>hokai_opus47</t>
        </is>
      </c>
      <c r="G30" s="8" t="inlineStr">
        <is>
          <t>Hokai - Claude Opus 4.7 benchmark summary</t>
        </is>
      </c>
      <c r="H30" s="8" t="inlineStr">
        <is>
          <t>Humanity's Last Exam with tools.</t>
        </is>
      </c>
    </row>
    <row r="31">
      <c r="A31" s="8" t="inlineStr">
        <is>
          <t>Coding</t>
        </is>
      </c>
      <c r="B31" s="8" t="inlineStr">
        <is>
          <t>SWE-Bench Verified</t>
        </is>
      </c>
      <c r="C31" s="8" t="inlineStr">
        <is>
          <t>Claude Sonnet 4.6</t>
        </is>
      </c>
      <c r="D31" s="8" t="n">
        <v>79.59999999999999</v>
      </c>
      <c r="E31" s="8" t="inlineStr">
        <is>
          <t>% resolved</t>
        </is>
      </c>
      <c r="F31" s="8" t="inlineStr">
        <is>
          <t>anthropic_sonnet46</t>
        </is>
      </c>
      <c r="G31" s="8" t="inlineStr">
        <is>
          <t>Anthropic - Introducing Claude Sonnet 4.6 and system card</t>
        </is>
      </c>
      <c r="H31" s="8" t="inlineStr">
        <is>
          <t>Anthropic averaged score.</t>
        </is>
      </c>
    </row>
    <row r="32">
      <c r="A32" s="8" t="inlineStr">
        <is>
          <t>Coding</t>
        </is>
      </c>
      <c r="B32" s="8" t="inlineStr">
        <is>
          <t>Terminal-Bench 2.0</t>
        </is>
      </c>
      <c r="C32" s="8" t="inlineStr">
        <is>
          <t>Claude Sonnet 4.6</t>
        </is>
      </c>
      <c r="D32" s="8" t="n">
        <v>59.1</v>
      </c>
      <c r="E32" s="8" t="inlineStr">
        <is>
          <t>% accuracy</t>
        </is>
      </c>
      <c r="F32" s="8" t="inlineStr">
        <is>
          <t>anthropic_sonnet46</t>
        </is>
      </c>
      <c r="G32" s="8" t="inlineStr">
        <is>
          <t>Anthropic - Introducing Claude Sonnet 4.6 and system card</t>
        </is>
      </c>
      <c r="H32" s="8" t="inlineStr">
        <is>
          <t>Anthropic reported default-thinking score.</t>
        </is>
      </c>
    </row>
    <row r="33">
      <c r="A33" s="8" t="inlineStr">
        <is>
          <t>Writing &amp; Knowledge</t>
        </is>
      </c>
      <c r="B33" s="8" t="inlineStr">
        <is>
          <t>GDPval-AA</t>
        </is>
      </c>
      <c r="C33" s="8" t="inlineStr">
        <is>
          <t>Claude Sonnet 4.6</t>
        </is>
      </c>
      <c r="D33" s="8" t="n">
        <v>1674</v>
      </c>
      <c r="E33" s="8" t="inlineStr">
        <is>
          <t>Elo</t>
        </is>
      </c>
      <c r="F33" s="8" t="inlineStr">
        <is>
          <t>aa_opus47</t>
        </is>
      </c>
      <c r="G33" s="8" t="inlineStr">
        <is>
          <t>Artificial Analysis - Opus 4.7 analysis</t>
        </is>
      </c>
      <c r="H33" s="8" t="inlineStr">
        <is>
          <t>Artificial Analysis noted Sonnet 4.6 near the top of GDPval-AA.</t>
        </is>
      </c>
    </row>
    <row r="34">
      <c r="A34" s="8" t="inlineStr">
        <is>
          <t>Coding</t>
        </is>
      </c>
      <c r="B34" s="8" t="inlineStr">
        <is>
          <t>SWE-Bench Pro</t>
        </is>
      </c>
      <c r="C34" s="8" t="inlineStr">
        <is>
          <t>MiniMax M2.7</t>
        </is>
      </c>
      <c r="D34" s="8" t="n">
        <v>56.22</v>
      </c>
      <c r="E34" s="8" t="inlineStr">
        <is>
          <t>% resolved</t>
        </is>
      </c>
      <c r="F34" s="8" t="inlineStr">
        <is>
          <t>minimax_nvidia; benchlm_swepro</t>
        </is>
      </c>
      <c r="G34" s="8" t="inlineStr">
        <is>
          <t>NVIDIA NIM - MiniMax M2.7 model card; BenchLM - SWE-bench Pro leaderboard</t>
        </is>
      </c>
      <c r="H34" s="8" t="inlineStr">
        <is>
          <t>NVIDIA lists this as SWE-Pro.</t>
        </is>
      </c>
    </row>
    <row r="35">
      <c r="A35" s="8" t="inlineStr">
        <is>
          <t>Coding</t>
        </is>
      </c>
      <c r="B35" s="8" t="inlineStr">
        <is>
          <t>VIBE-Pro</t>
        </is>
      </c>
      <c r="C35" s="8" t="inlineStr">
        <is>
          <t>MiniMax M2.7</t>
        </is>
      </c>
      <c r="D35" s="8" t="n">
        <v>55.6</v>
      </c>
      <c r="E35" s="8" t="inlineStr">
        <is>
          <t>% score</t>
        </is>
      </c>
      <c r="F35" s="8" t="inlineStr">
        <is>
          <t>minimax_nvidia</t>
        </is>
      </c>
      <c r="G35" s="8" t="inlineStr">
        <is>
          <t>NVIDIA NIM - MiniMax M2.7 model card</t>
        </is>
      </c>
      <c r="H35" s="8" t="inlineStr">
        <is>
          <t>End-to-end project delivery.</t>
        </is>
      </c>
    </row>
    <row r="36">
      <c r="A36" s="8" t="inlineStr">
        <is>
          <t>Coding</t>
        </is>
      </c>
      <c r="B36" s="8" t="inlineStr">
        <is>
          <t>Terminal-Bench 2.0</t>
        </is>
      </c>
      <c r="C36" s="8" t="inlineStr">
        <is>
          <t>MiniMax M2.7</t>
        </is>
      </c>
      <c r="D36" s="8" t="n">
        <v>57</v>
      </c>
      <c r="E36" s="8" t="inlineStr">
        <is>
          <t>% accuracy</t>
        </is>
      </c>
      <c r="F36" s="8" t="inlineStr">
        <is>
          <t>minimax_nvidia</t>
        </is>
      </c>
      <c r="G36" s="8" t="inlineStr">
        <is>
          <t>NVIDIA NIM - MiniMax M2.7 model card</t>
        </is>
      </c>
      <c r="H36" s="8" t="inlineStr">
        <is>
          <t>Complex terminal workflows.</t>
        </is>
      </c>
    </row>
    <row r="37">
      <c r="A37" s="8" t="inlineStr">
        <is>
          <t>Coding</t>
        </is>
      </c>
      <c r="B37" s="8" t="inlineStr">
        <is>
          <t>NL2Repo</t>
        </is>
      </c>
      <c r="C37" s="8" t="inlineStr">
        <is>
          <t>MiniMax M2.7</t>
        </is>
      </c>
      <c r="D37" s="8" t="n">
        <v>39.8</v>
      </c>
      <c r="E37" s="8" t="inlineStr">
        <is>
          <t>% score</t>
        </is>
      </c>
      <c r="F37" s="8" t="inlineStr">
        <is>
          <t>minimax_nvidia</t>
        </is>
      </c>
      <c r="G37" s="8" t="inlineStr">
        <is>
          <t>NVIDIA NIM - MiniMax M2.7 model card</t>
        </is>
      </c>
      <c r="H37" s="8" t="inlineStr">
        <is>
          <t>Repository-level engineering.</t>
        </is>
      </c>
    </row>
    <row r="38">
      <c r="A38" s="8" t="inlineStr">
        <is>
          <t>Writing &amp; Knowledge</t>
        </is>
      </c>
      <c r="B38" s="8" t="inlineStr">
        <is>
          <t>GDPval-AA</t>
        </is>
      </c>
      <c r="C38" s="8" t="inlineStr">
        <is>
          <t>MiniMax M2.7</t>
        </is>
      </c>
      <c r="D38" s="8" t="n">
        <v>1495</v>
      </c>
      <c r="E38" s="8" t="inlineStr">
        <is>
          <t>Elo</t>
        </is>
      </c>
      <c r="F38" s="8" t="inlineStr">
        <is>
          <t>minimax_nvidia</t>
        </is>
      </c>
      <c r="G38" s="8" t="inlineStr">
        <is>
          <t>NVIDIA NIM - MiniMax M2.7 model card</t>
        </is>
      </c>
      <c r="H38" s="8" t="inlineStr">
        <is>
          <t>Professional office/domain capability.</t>
        </is>
      </c>
    </row>
    <row r="39">
      <c r="A39" s="8" t="inlineStr">
        <is>
          <t>Agentic &amp; Other</t>
        </is>
      </c>
      <c r="B39" s="8" t="inlineStr">
        <is>
          <t>Toolathlon</t>
        </is>
      </c>
      <c r="C39" s="8" t="inlineStr">
        <is>
          <t>MiniMax M2.7</t>
        </is>
      </c>
      <c r="D39" s="8" t="n">
        <v>46.3</v>
      </c>
      <c r="E39" s="8" t="inlineStr">
        <is>
          <t>% pass</t>
        </is>
      </c>
      <c r="F39" s="8" t="inlineStr">
        <is>
          <t>minimax_nvidia</t>
        </is>
      </c>
      <c r="G39" s="8" t="inlineStr">
        <is>
          <t>NVIDIA NIM - MiniMax M2.7 model card</t>
        </is>
      </c>
      <c r="H39" s="8" t="inlineStr">
        <is>
          <t>Tool-use benchmark.</t>
        </is>
      </c>
    </row>
    <row r="40">
      <c r="A40" s="8" t="inlineStr">
        <is>
          <t>Agentic &amp; Other</t>
        </is>
      </c>
      <c r="B40" s="8" t="inlineStr">
        <is>
          <t>MM Claw</t>
        </is>
      </c>
      <c r="C40" s="8" t="inlineStr">
        <is>
          <t>MiniMax M2.7</t>
        </is>
      </c>
      <c r="D40" s="8" t="n">
        <v>62.7</v>
      </c>
      <c r="E40" s="8" t="inlineStr">
        <is>
          <t>% score</t>
        </is>
      </c>
      <c r="F40" s="8" t="inlineStr">
        <is>
          <t>minimax_nvidia</t>
        </is>
      </c>
      <c r="G40" s="8" t="inlineStr">
        <is>
          <t>NVIDIA NIM - MiniMax M2.7 model card</t>
        </is>
      </c>
      <c r="H40" s="8" t="inlineStr">
        <is>
          <t>Complex skills and agent workflows.</t>
        </is>
      </c>
    </row>
    <row r="41">
      <c r="A41" s="8" t="inlineStr">
        <is>
          <t>Agentic &amp; Other</t>
        </is>
      </c>
      <c r="B41" s="8" t="inlineStr">
        <is>
          <t>MLE Bench Lite</t>
        </is>
      </c>
      <c r="C41" s="8" t="inlineStr">
        <is>
          <t>MiniMax M2.7</t>
        </is>
      </c>
      <c r="D41" s="8" t="n">
        <v>66.59999999999999</v>
      </c>
      <c r="E41" s="8" t="inlineStr">
        <is>
          <t>% medal rate</t>
        </is>
      </c>
      <c r="F41" s="8" t="inlineStr">
        <is>
          <t>minimax_nvidia</t>
        </is>
      </c>
      <c r="G41" s="8" t="inlineStr">
        <is>
          <t>NVIDIA NIM - MiniMax M2.7 model card</t>
        </is>
      </c>
      <c r="H41" s="8" t="inlineStr">
        <is>
          <t>ML competition subset.</t>
        </is>
      </c>
    </row>
    <row r="42">
      <c r="A42" s="8" t="inlineStr">
        <is>
          <t>Coding</t>
        </is>
      </c>
      <c r="B42" s="8" t="inlineStr">
        <is>
          <t>SWE-Bench Multilingual</t>
        </is>
      </c>
      <c r="C42" s="8" t="inlineStr">
        <is>
          <t>MiniMax M2.7</t>
        </is>
      </c>
      <c r="D42" s="8" t="n">
        <v>76.5</v>
      </c>
      <c r="E42" s="8" t="inlineStr">
        <is>
          <t>% resolved</t>
        </is>
      </c>
      <c r="F42" s="8" t="inlineStr">
        <is>
          <t>minimax_nvidia</t>
        </is>
      </c>
      <c r="G42" s="8" t="inlineStr">
        <is>
          <t>NVIDIA NIM - MiniMax M2.7 model card</t>
        </is>
      </c>
      <c r="H42" s="8" t="inlineStr">
        <is>
          <t>Multi-language software tasks.</t>
        </is>
      </c>
    </row>
    <row r="43">
      <c r="A43" s="8" t="inlineStr">
        <is>
          <t>Coding</t>
        </is>
      </c>
      <c r="B43" s="8" t="inlineStr">
        <is>
          <t>Multi SWE Bench</t>
        </is>
      </c>
      <c r="C43" s="8" t="inlineStr">
        <is>
          <t>MiniMax M2.7</t>
        </is>
      </c>
      <c r="D43" s="8" t="n">
        <v>52.7</v>
      </c>
      <c r="E43" s="8" t="inlineStr">
        <is>
          <t>% resolved</t>
        </is>
      </c>
      <c r="F43" s="8" t="inlineStr">
        <is>
          <t>minimax_nvidia</t>
        </is>
      </c>
      <c r="G43" s="8" t="inlineStr">
        <is>
          <t>NVIDIA NIM - MiniMax M2.7 model card</t>
        </is>
      </c>
      <c r="H43" s="8" t="inlineStr">
        <is>
          <t>Multi-repository SWE tasks.</t>
        </is>
      </c>
    </row>
    <row r="44">
      <c r="A44" s="8" t="inlineStr">
        <is>
          <t>Agentic &amp; Other</t>
        </is>
      </c>
      <c r="B44" s="8" t="inlineStr">
        <is>
          <t>HLE w/ tools</t>
        </is>
      </c>
      <c r="C44" s="8" t="inlineStr">
        <is>
          <t>Kimi K2.6</t>
        </is>
      </c>
      <c r="D44" s="8" t="n">
        <v>54</v>
      </c>
      <c r="E44" s="8" t="inlineStr">
        <is>
          <t>% pass</t>
        </is>
      </c>
      <c r="F44" s="8" t="inlineStr">
        <is>
          <t>kimi_hf</t>
        </is>
      </c>
      <c r="G44" s="8" t="inlineStr">
        <is>
          <t>Moonshot AI - Kimi K2.6 Hugging Face model card</t>
        </is>
      </c>
      <c r="H44" s="8" t="inlineStr">
        <is>
          <t>HLE with search/code/web tools.</t>
        </is>
      </c>
    </row>
    <row r="45">
      <c r="A45" s="8" t="inlineStr">
        <is>
          <t>Agentic &amp; Other</t>
        </is>
      </c>
      <c r="B45" s="8" t="inlineStr">
        <is>
          <t>BrowseComp</t>
        </is>
      </c>
      <c r="C45" s="8" t="inlineStr">
        <is>
          <t>Kimi K2.6</t>
        </is>
      </c>
      <c r="D45" s="8" t="n">
        <v>83.2</v>
      </c>
      <c r="E45" s="8" t="inlineStr">
        <is>
          <t>% pass</t>
        </is>
      </c>
      <c r="F45" s="8" t="inlineStr">
        <is>
          <t>kimi_hf</t>
        </is>
      </c>
      <c r="G45" s="8" t="inlineStr">
        <is>
          <t>Moonshot AI - Kimi K2.6 Hugging Face model card</t>
        </is>
      </c>
      <c r="H45" s="8" t="inlineStr">
        <is>
          <t>Web browsing and retrieval.</t>
        </is>
      </c>
    </row>
    <row r="46">
      <c r="A46" s="8" t="inlineStr">
        <is>
          <t>Agentic &amp; Other</t>
        </is>
      </c>
      <c r="B46" s="8" t="inlineStr">
        <is>
          <t>DeepSearchQA</t>
        </is>
      </c>
      <c r="C46" s="8" t="inlineStr">
        <is>
          <t>Kimi K2.6</t>
        </is>
      </c>
      <c r="D46" s="8" t="n">
        <v>92.5</v>
      </c>
      <c r="E46" s="8" t="inlineStr">
        <is>
          <t>F1</t>
        </is>
      </c>
      <c r="F46" s="8" t="inlineStr">
        <is>
          <t>kimi_hf</t>
        </is>
      </c>
      <c r="G46" s="8" t="inlineStr">
        <is>
          <t>Moonshot AI - Kimi K2.6 Hugging Face model card</t>
        </is>
      </c>
      <c r="H46" s="8" t="inlineStr">
        <is>
          <t>Search-heavy answer retrieval.</t>
        </is>
      </c>
    </row>
    <row r="47">
      <c r="A47" s="8" t="inlineStr">
        <is>
          <t>Agentic &amp; Other</t>
        </is>
      </c>
      <c r="B47" s="8" t="inlineStr">
        <is>
          <t>Toolathlon</t>
        </is>
      </c>
      <c r="C47" s="8" t="inlineStr">
        <is>
          <t>Kimi K2.6</t>
        </is>
      </c>
      <c r="D47" s="8" t="n">
        <v>50</v>
      </c>
      <c r="E47" s="8" t="inlineStr">
        <is>
          <t>% pass</t>
        </is>
      </c>
      <c r="F47" s="8" t="inlineStr">
        <is>
          <t>kimi_hf</t>
        </is>
      </c>
      <c r="G47" s="8" t="inlineStr">
        <is>
          <t>Moonshot AI - Kimi K2.6 Hugging Face model card</t>
        </is>
      </c>
      <c r="H47" s="8" t="inlineStr">
        <is>
          <t>Tool-use benchmark.</t>
        </is>
      </c>
    </row>
    <row r="48">
      <c r="A48" s="8" t="inlineStr">
        <is>
          <t>Agentic &amp; Other</t>
        </is>
      </c>
      <c r="B48" s="8" t="inlineStr">
        <is>
          <t>OSWorld-Verified</t>
        </is>
      </c>
      <c r="C48" s="8" t="inlineStr">
        <is>
          <t>Kimi K2.6</t>
        </is>
      </c>
      <c r="D48" s="8" t="n">
        <v>73.09999999999999</v>
      </c>
      <c r="E48" s="8" t="inlineStr">
        <is>
          <t>% success</t>
        </is>
      </c>
      <c r="F48" s="8" t="inlineStr">
        <is>
          <t>kimi_hf</t>
        </is>
      </c>
      <c r="G48" s="8" t="inlineStr">
        <is>
          <t>Moonshot AI - Kimi K2.6 Hugging Face model card</t>
        </is>
      </c>
      <c r="H48" s="8" t="inlineStr">
        <is>
          <t>Computer-use productivity tasks.</t>
        </is>
      </c>
    </row>
    <row r="49">
      <c r="A49" s="8" t="inlineStr">
        <is>
          <t>Coding</t>
        </is>
      </c>
      <c r="B49" s="8" t="inlineStr">
        <is>
          <t>Terminal-Bench 2.0</t>
        </is>
      </c>
      <c r="C49" s="8" t="inlineStr">
        <is>
          <t>Kimi K2.6</t>
        </is>
      </c>
      <c r="D49" s="8" t="n">
        <v>66.7</v>
      </c>
      <c r="E49" s="8" t="inlineStr">
        <is>
          <t>% accuracy</t>
        </is>
      </c>
      <c r="F49" s="8" t="inlineStr">
        <is>
          <t>kimi_hf</t>
        </is>
      </c>
      <c r="G49" s="8" t="inlineStr">
        <is>
          <t>Moonshot AI - Kimi K2.6 Hugging Face model card</t>
        </is>
      </c>
      <c r="H49" s="8" t="inlineStr">
        <is>
          <t>Terminus-2 harness.</t>
        </is>
      </c>
    </row>
    <row r="50">
      <c r="A50" s="8" t="inlineStr">
        <is>
          <t>Coding</t>
        </is>
      </c>
      <c r="B50" s="8" t="inlineStr">
        <is>
          <t>SWE-Bench Pro</t>
        </is>
      </c>
      <c r="C50" s="8" t="inlineStr">
        <is>
          <t>Kimi K2.6</t>
        </is>
      </c>
      <c r="D50" s="8" t="n">
        <v>58.6</v>
      </c>
      <c r="E50" s="8" t="inlineStr">
        <is>
          <t>% resolved</t>
        </is>
      </c>
      <c r="F50" s="8" t="inlineStr">
        <is>
          <t>kimi_hf; benchlm_swepro</t>
        </is>
      </c>
      <c r="G50" s="8" t="inlineStr">
        <is>
          <t>Moonshot AI - Kimi K2.6 Hugging Face model card; BenchLM - SWE-bench Pro leaderboard</t>
        </is>
      </c>
      <c r="H50" s="8" t="inlineStr">
        <is>
          <t>Harder SWE-bench variant.</t>
        </is>
      </c>
    </row>
    <row r="51">
      <c r="A51" s="8" t="inlineStr">
        <is>
          <t>Coding</t>
        </is>
      </c>
      <c r="B51" s="8" t="inlineStr">
        <is>
          <t>SWE-Bench Multilingual</t>
        </is>
      </c>
      <c r="C51" s="8" t="inlineStr">
        <is>
          <t>Kimi K2.6</t>
        </is>
      </c>
      <c r="D51" s="8" t="n">
        <v>76.7</v>
      </c>
      <c r="E51" s="8" t="inlineStr">
        <is>
          <t>% resolved</t>
        </is>
      </c>
      <c r="F51" s="8" t="inlineStr">
        <is>
          <t>kimi_hf</t>
        </is>
      </c>
      <c r="G51" s="8" t="inlineStr">
        <is>
          <t>Moonshot AI - Kimi K2.6 Hugging Face model card</t>
        </is>
      </c>
      <c r="H51" s="8" t="inlineStr">
        <is>
          <t>Multi-language software tasks.</t>
        </is>
      </c>
    </row>
    <row r="52">
      <c r="A52" s="8" t="inlineStr">
        <is>
          <t>Coding</t>
        </is>
      </c>
      <c r="B52" s="8" t="inlineStr">
        <is>
          <t>SWE-Bench Verified</t>
        </is>
      </c>
      <c r="C52" s="8" t="inlineStr">
        <is>
          <t>Kimi K2.6</t>
        </is>
      </c>
      <c r="D52" s="8" t="n">
        <v>80.2</v>
      </c>
      <c r="E52" s="8" t="inlineStr">
        <is>
          <t>% resolved</t>
        </is>
      </c>
      <c r="F52" s="8" t="inlineStr">
        <is>
          <t>kimi_hf</t>
        </is>
      </c>
      <c r="G52" s="8" t="inlineStr">
        <is>
          <t>Moonshot AI - Kimi K2.6 Hugging Face model card</t>
        </is>
      </c>
      <c r="H52" s="8" t="inlineStr">
        <is>
          <t>Averaged over 10 independent runs.</t>
        </is>
      </c>
    </row>
    <row r="53">
      <c r="A53" s="8" t="inlineStr">
        <is>
          <t>Coding</t>
        </is>
      </c>
      <c r="B53" s="8" t="inlineStr">
        <is>
          <t>SciCode</t>
        </is>
      </c>
      <c r="C53" s="8" t="inlineStr">
        <is>
          <t>Kimi K2.6</t>
        </is>
      </c>
      <c r="D53" s="8" t="n">
        <v>52.2</v>
      </c>
      <c r="E53" s="8" t="inlineStr">
        <is>
          <t>% score</t>
        </is>
      </c>
      <c r="F53" s="8" t="inlineStr">
        <is>
          <t>kimi_hf</t>
        </is>
      </c>
      <c r="G53" s="8" t="inlineStr">
        <is>
          <t>Moonshot AI - Kimi K2.6 Hugging Face model card</t>
        </is>
      </c>
      <c r="H53" s="8" t="inlineStr">
        <is>
          <t>Scientific coding benchmark.</t>
        </is>
      </c>
    </row>
    <row r="54">
      <c r="A54" s="8" t="inlineStr">
        <is>
          <t>Coding</t>
        </is>
      </c>
      <c r="B54" s="8" t="inlineStr">
        <is>
          <t>OJBench Python</t>
        </is>
      </c>
      <c r="C54" s="8" t="inlineStr">
        <is>
          <t>Kimi K2.6</t>
        </is>
      </c>
      <c r="D54" s="8" t="n">
        <v>60.6</v>
      </c>
      <c r="E54" s="8" t="inlineStr">
        <is>
          <t>% pass</t>
        </is>
      </c>
      <c r="F54" s="8" t="inlineStr">
        <is>
          <t>kimi_hf</t>
        </is>
      </c>
      <c r="G54" s="8" t="inlineStr">
        <is>
          <t>Moonshot AI - Kimi K2.6 Hugging Face model card</t>
        </is>
      </c>
      <c r="H54" s="8" t="inlineStr">
        <is>
          <t>Online-judge Python tasks.</t>
        </is>
      </c>
    </row>
    <row r="55">
      <c r="A55" s="8" t="inlineStr">
        <is>
          <t>Coding</t>
        </is>
      </c>
      <c r="B55" s="8" t="inlineStr">
        <is>
          <t>LiveCodeBench v6</t>
        </is>
      </c>
      <c r="C55" s="8" t="inlineStr">
        <is>
          <t>Kimi K2.6</t>
        </is>
      </c>
      <c r="D55" s="8" t="n">
        <v>89.59999999999999</v>
      </c>
      <c r="E55" s="8" t="inlineStr">
        <is>
          <t>% pass</t>
        </is>
      </c>
      <c r="F55" s="8" t="inlineStr">
        <is>
          <t>kimi_hf</t>
        </is>
      </c>
      <c r="G55" s="8" t="inlineStr">
        <is>
          <t>Moonshot AI - Kimi K2.6 Hugging Face model card</t>
        </is>
      </c>
      <c r="H55" s="8" t="inlineStr">
        <is>
          <t>Live coding benchmark.</t>
        </is>
      </c>
    </row>
    <row r="56">
      <c r="A56" s="8" t="inlineStr">
        <is>
          <t>Math &amp; Reasoning</t>
        </is>
      </c>
      <c r="B56" s="8" t="inlineStr">
        <is>
          <t>HLE</t>
        </is>
      </c>
      <c r="C56" s="8" t="inlineStr">
        <is>
          <t>Kimi K2.6</t>
        </is>
      </c>
      <c r="D56" s="8" t="n">
        <v>34.7</v>
      </c>
      <c r="E56" s="8" t="inlineStr">
        <is>
          <t>% pass</t>
        </is>
      </c>
      <c r="F56" s="8" t="inlineStr">
        <is>
          <t>kimi_hf</t>
        </is>
      </c>
      <c r="G56" s="8" t="inlineStr">
        <is>
          <t>Moonshot AI - Kimi K2.6 Hugging Face model card</t>
        </is>
      </c>
      <c r="H56" s="8" t="inlineStr">
        <is>
          <t>Humanity's Last Exam without tools.</t>
        </is>
      </c>
    </row>
    <row r="57">
      <c r="A57" s="8" t="inlineStr">
        <is>
          <t>Math &amp; Reasoning</t>
        </is>
      </c>
      <c r="B57" s="8" t="inlineStr">
        <is>
          <t>AIME 2026</t>
        </is>
      </c>
      <c r="C57" s="8" t="inlineStr">
        <is>
          <t>Kimi K2.6</t>
        </is>
      </c>
      <c r="D57" s="8" t="n">
        <v>96.40000000000001</v>
      </c>
      <c r="E57" s="8" t="inlineStr">
        <is>
          <t>% accuracy</t>
        </is>
      </c>
      <c r="F57" s="8" t="inlineStr">
        <is>
          <t>kimi_hf</t>
        </is>
      </c>
      <c r="G57" s="8" t="inlineStr">
        <is>
          <t>Moonshot AI - Kimi K2.6 Hugging Face model card</t>
        </is>
      </c>
      <c r="H57" s="8" t="inlineStr">
        <is>
          <t>Competition math.</t>
        </is>
      </c>
    </row>
    <row r="58">
      <c r="A58" s="8" t="inlineStr">
        <is>
          <t>Math &amp; Reasoning</t>
        </is>
      </c>
      <c r="B58" s="8" t="inlineStr">
        <is>
          <t>HMMT 2026 Feb</t>
        </is>
      </c>
      <c r="C58" s="8" t="inlineStr">
        <is>
          <t>Kimi K2.6</t>
        </is>
      </c>
      <c r="D58" s="8" t="n">
        <v>92.7</v>
      </c>
      <c r="E58" s="8" t="inlineStr">
        <is>
          <t>% pass</t>
        </is>
      </c>
      <c r="F58" s="8" t="inlineStr">
        <is>
          <t>kimi_hf</t>
        </is>
      </c>
      <c r="G58" s="8" t="inlineStr">
        <is>
          <t>Moonshot AI - Kimi K2.6 Hugging Face model card</t>
        </is>
      </c>
      <c r="H58" s="8" t="inlineStr">
        <is>
          <t>Advanced contest math.</t>
        </is>
      </c>
    </row>
    <row r="59">
      <c r="A59" s="8" t="inlineStr">
        <is>
          <t>Math &amp; Reasoning</t>
        </is>
      </c>
      <c r="B59" s="8" t="inlineStr">
        <is>
          <t>IMO-AnswerBench</t>
        </is>
      </c>
      <c r="C59" s="8" t="inlineStr">
        <is>
          <t>Kimi K2.6</t>
        </is>
      </c>
      <c r="D59" s="8" t="n">
        <v>86</v>
      </c>
      <c r="E59" s="8" t="inlineStr">
        <is>
          <t>% pass</t>
        </is>
      </c>
      <c r="F59" s="8" t="inlineStr">
        <is>
          <t>kimi_hf</t>
        </is>
      </c>
      <c r="G59" s="8" t="inlineStr">
        <is>
          <t>Moonshot AI - Kimi K2.6 Hugging Face model card</t>
        </is>
      </c>
      <c r="H59" s="8" t="inlineStr">
        <is>
          <t>Olympiad-style math answers.</t>
        </is>
      </c>
    </row>
    <row r="60">
      <c r="A60" s="8" t="inlineStr">
        <is>
          <t>Math &amp; Reasoning</t>
        </is>
      </c>
      <c r="B60" s="8" t="inlineStr">
        <is>
          <t>GPQA-Diamond</t>
        </is>
      </c>
      <c r="C60" s="8" t="inlineStr">
        <is>
          <t>Kimi K2.6</t>
        </is>
      </c>
      <c r="D60" s="8" t="n">
        <v>90.5</v>
      </c>
      <c r="E60" s="8" t="inlineStr">
        <is>
          <t>% accuracy</t>
        </is>
      </c>
      <c r="F60" s="8" t="inlineStr">
        <is>
          <t>kimi_hf</t>
        </is>
      </c>
      <c r="G60" s="8" t="inlineStr">
        <is>
          <t>Moonshot AI - Kimi K2.6 Hugging Face model card</t>
        </is>
      </c>
      <c r="H60" s="8" t="inlineStr">
        <is>
          <t>PhD-level science Q&amp;A.</t>
        </is>
      </c>
    </row>
    <row r="61">
      <c r="A61" s="8" t="inlineStr">
        <is>
          <t>Writing &amp; Knowledge</t>
        </is>
      </c>
      <c r="B61" s="8" t="inlineStr">
        <is>
          <t>GDPval-AA</t>
        </is>
      </c>
      <c r="C61" s="8" t="inlineStr">
        <is>
          <t>Kimi K2.6</t>
        </is>
      </c>
      <c r="D61" s="8" t="n">
        <v>1482</v>
      </c>
      <c r="E61" s="8" t="inlineStr">
        <is>
          <t>Elo</t>
        </is>
      </c>
      <c r="F61" s="8" t="inlineStr">
        <is>
          <t>deepseek_hf</t>
        </is>
      </c>
      <c r="G61" s="8" t="inlineStr">
        <is>
          <t>DeepSeek - DeepSeek-V4-Pro Hugging Face model card</t>
        </is>
      </c>
      <c r="H61" s="8" t="inlineStr">
        <is>
          <t>DeepSeek comparison table.</t>
        </is>
      </c>
    </row>
    <row r="62">
      <c r="A62" s="8" t="inlineStr">
        <is>
          <t>Math &amp; Reasoning</t>
        </is>
      </c>
      <c r="B62" s="8" t="inlineStr">
        <is>
          <t>MMLU-Pro</t>
        </is>
      </c>
      <c r="C62" s="8" t="inlineStr">
        <is>
          <t>DeepSeek V4-Pro Max</t>
        </is>
      </c>
      <c r="D62" s="8" t="n">
        <v>87.5</v>
      </c>
      <c r="E62" s="8" t="inlineStr">
        <is>
          <t>% EM</t>
        </is>
      </c>
      <c r="F62" s="8" t="inlineStr">
        <is>
          <t>deepseek_hf</t>
        </is>
      </c>
      <c r="G62" s="8" t="inlineStr">
        <is>
          <t>DeepSeek - DeepSeek-V4-Pro Hugging Face model card</t>
        </is>
      </c>
      <c r="H62" s="8" t="inlineStr">
        <is>
          <t>Difficult multitask knowledge benchmark.</t>
        </is>
      </c>
    </row>
    <row r="63">
      <c r="A63" s="8" t="inlineStr">
        <is>
          <t>Math &amp; Reasoning</t>
        </is>
      </c>
      <c r="B63" s="8" t="inlineStr">
        <is>
          <t>SimpleQA-Verified</t>
        </is>
      </c>
      <c r="C63" s="8" t="inlineStr">
        <is>
          <t>DeepSeek V4-Pro Max</t>
        </is>
      </c>
      <c r="D63" s="8" t="n">
        <v>57.9</v>
      </c>
      <c r="E63" s="8" t="inlineStr">
        <is>
          <t>% pass</t>
        </is>
      </c>
      <c r="F63" s="8" t="inlineStr">
        <is>
          <t>deepseek_hf</t>
        </is>
      </c>
      <c r="G63" s="8" t="inlineStr">
        <is>
          <t>DeepSeek - DeepSeek-V4-Pro Hugging Face model card</t>
        </is>
      </c>
      <c r="H63" s="8" t="inlineStr">
        <is>
          <t>Factual Q&amp;A.</t>
        </is>
      </c>
    </row>
    <row r="64">
      <c r="A64" s="8" t="inlineStr">
        <is>
          <t>Math &amp; Reasoning</t>
        </is>
      </c>
      <c r="B64" s="8" t="inlineStr">
        <is>
          <t>GPQA-Diamond</t>
        </is>
      </c>
      <c r="C64" s="8" t="inlineStr">
        <is>
          <t>DeepSeek V4-Pro Max</t>
        </is>
      </c>
      <c r="D64" s="8" t="n">
        <v>90.09999999999999</v>
      </c>
      <c r="E64" s="8" t="inlineStr">
        <is>
          <t>% accuracy</t>
        </is>
      </c>
      <c r="F64" s="8" t="inlineStr">
        <is>
          <t>deepseek_hf</t>
        </is>
      </c>
      <c r="G64" s="8" t="inlineStr">
        <is>
          <t>DeepSeek - DeepSeek-V4-Pro Hugging Face model card</t>
        </is>
      </c>
      <c r="H64" s="8" t="inlineStr">
        <is>
          <t>PhD-level science Q&amp;A.</t>
        </is>
      </c>
    </row>
    <row r="65">
      <c r="A65" s="8" t="inlineStr">
        <is>
          <t>Math &amp; Reasoning</t>
        </is>
      </c>
      <c r="B65" s="8" t="inlineStr">
        <is>
          <t>HLE</t>
        </is>
      </c>
      <c r="C65" s="8" t="inlineStr">
        <is>
          <t>DeepSeek V4-Pro Max</t>
        </is>
      </c>
      <c r="D65" s="8" t="n">
        <v>37.7</v>
      </c>
      <c r="E65" s="8" t="inlineStr">
        <is>
          <t>% pass</t>
        </is>
      </c>
      <c r="F65" s="8" t="inlineStr">
        <is>
          <t>deepseek_hf</t>
        </is>
      </c>
      <c r="G65" s="8" t="inlineStr">
        <is>
          <t>DeepSeek - DeepSeek-V4-Pro Hugging Face model card</t>
        </is>
      </c>
      <c r="H65" s="8" t="inlineStr">
        <is>
          <t>Humanity's Last Exam without tools.</t>
        </is>
      </c>
    </row>
    <row r="66">
      <c r="A66" s="8" t="inlineStr">
        <is>
          <t>Coding</t>
        </is>
      </c>
      <c r="B66" s="8" t="inlineStr">
        <is>
          <t>LiveCodeBench v6</t>
        </is>
      </c>
      <c r="C66" s="8" t="inlineStr">
        <is>
          <t>DeepSeek V4-Pro Max</t>
        </is>
      </c>
      <c r="D66" s="8" t="n">
        <v>93.5</v>
      </c>
      <c r="E66" s="8" t="inlineStr">
        <is>
          <t>% pass</t>
        </is>
      </c>
      <c r="F66" s="8" t="inlineStr">
        <is>
          <t>deepseek_hf</t>
        </is>
      </c>
      <c r="G66" s="8" t="inlineStr">
        <is>
          <t>DeepSeek - DeepSeek-V4-Pro Hugging Face model card</t>
        </is>
      </c>
      <c r="H66" s="8" t="inlineStr">
        <is>
          <t>Live coding benchmark.</t>
        </is>
      </c>
    </row>
    <row r="67">
      <c r="A67" s="8" t="inlineStr">
        <is>
          <t>Math &amp; Reasoning</t>
        </is>
      </c>
      <c r="B67" s="8" t="inlineStr">
        <is>
          <t>Codeforces</t>
        </is>
      </c>
      <c r="C67" s="8" t="inlineStr">
        <is>
          <t>DeepSeek V4-Pro Max</t>
        </is>
      </c>
      <c r="D67" s="8" t="n">
        <v>3206</v>
      </c>
      <c r="E67" s="8" t="inlineStr">
        <is>
          <t>rating</t>
        </is>
      </c>
      <c r="F67" s="8" t="inlineStr">
        <is>
          <t>deepseek_hf</t>
        </is>
      </c>
      <c r="G67" s="8" t="inlineStr">
        <is>
          <t>DeepSeek - DeepSeek-V4-Pro Hugging Face model card</t>
        </is>
      </c>
      <c r="H67" s="8" t="inlineStr">
        <is>
          <t>Competitive programming rating.</t>
        </is>
      </c>
    </row>
    <row r="68">
      <c r="A68" s="8" t="inlineStr">
        <is>
          <t>Math &amp; Reasoning</t>
        </is>
      </c>
      <c r="B68" s="8" t="inlineStr">
        <is>
          <t>HMMT 2026 Feb</t>
        </is>
      </c>
      <c r="C68" s="8" t="inlineStr">
        <is>
          <t>DeepSeek V4-Pro Max</t>
        </is>
      </c>
      <c r="D68" s="8" t="n">
        <v>95.2</v>
      </c>
      <c r="E68" s="8" t="inlineStr">
        <is>
          <t>% pass</t>
        </is>
      </c>
      <c r="F68" s="8" t="inlineStr">
        <is>
          <t>deepseek_hf</t>
        </is>
      </c>
      <c r="G68" s="8" t="inlineStr">
        <is>
          <t>DeepSeek - DeepSeek-V4-Pro Hugging Face model card</t>
        </is>
      </c>
      <c r="H68" s="8" t="inlineStr">
        <is>
          <t>Advanced contest math.</t>
        </is>
      </c>
    </row>
    <row r="69">
      <c r="A69" s="8" t="inlineStr">
        <is>
          <t>Math &amp; Reasoning</t>
        </is>
      </c>
      <c r="B69" s="8" t="inlineStr">
        <is>
          <t>IMO-AnswerBench</t>
        </is>
      </c>
      <c r="C69" s="8" t="inlineStr">
        <is>
          <t>DeepSeek V4-Pro Max</t>
        </is>
      </c>
      <c r="D69" s="8" t="n">
        <v>89.8</v>
      </c>
      <c r="E69" s="8" t="inlineStr">
        <is>
          <t>% pass</t>
        </is>
      </c>
      <c r="F69" s="8" t="inlineStr">
        <is>
          <t>deepseek_hf</t>
        </is>
      </c>
      <c r="G69" s="8" t="inlineStr">
        <is>
          <t>DeepSeek - DeepSeek-V4-Pro Hugging Face model card</t>
        </is>
      </c>
      <c r="H69" s="8" t="inlineStr">
        <is>
          <t>Olympiad-style math answers.</t>
        </is>
      </c>
    </row>
    <row r="70">
      <c r="A70" s="8" t="inlineStr">
        <is>
          <t>Coding</t>
        </is>
      </c>
      <c r="B70" s="8" t="inlineStr">
        <is>
          <t>Terminal-Bench 2.0</t>
        </is>
      </c>
      <c r="C70" s="8" t="inlineStr">
        <is>
          <t>DeepSeek V4-Pro Max</t>
        </is>
      </c>
      <c r="D70" s="8" t="n">
        <v>67.90000000000001</v>
      </c>
      <c r="E70" s="8" t="inlineStr">
        <is>
          <t>% accuracy</t>
        </is>
      </c>
      <c r="F70" s="8" t="inlineStr">
        <is>
          <t>deepseek_hf</t>
        </is>
      </c>
      <c r="G70" s="8" t="inlineStr">
        <is>
          <t>DeepSeek - DeepSeek-V4-Pro Hugging Face model card</t>
        </is>
      </c>
      <c r="H70" s="8" t="inlineStr">
        <is>
          <t>Complex terminal workflows.</t>
        </is>
      </c>
    </row>
    <row r="71">
      <c r="A71" s="8" t="inlineStr">
        <is>
          <t>Coding</t>
        </is>
      </c>
      <c r="B71" s="8" t="inlineStr">
        <is>
          <t>SWE-Bench Verified</t>
        </is>
      </c>
      <c r="C71" s="8" t="inlineStr">
        <is>
          <t>DeepSeek V4-Pro Max</t>
        </is>
      </c>
      <c r="D71" s="8" t="n">
        <v>80.59999999999999</v>
      </c>
      <c r="E71" s="8" t="inlineStr">
        <is>
          <t>% resolved</t>
        </is>
      </c>
      <c r="F71" s="8" t="inlineStr">
        <is>
          <t>deepseek_hf</t>
        </is>
      </c>
      <c r="G71" s="8" t="inlineStr">
        <is>
          <t>DeepSeek - DeepSeek-V4-Pro Hugging Face model card</t>
        </is>
      </c>
      <c r="H71" s="8" t="inlineStr">
        <is>
          <t>Human-validated SWE-bench subset.</t>
        </is>
      </c>
    </row>
    <row r="72">
      <c r="A72" s="8" t="inlineStr">
        <is>
          <t>Coding</t>
        </is>
      </c>
      <c r="B72" s="8" t="inlineStr">
        <is>
          <t>SWE-Bench Pro</t>
        </is>
      </c>
      <c r="C72" s="8" t="inlineStr">
        <is>
          <t>DeepSeek V4-Pro Max</t>
        </is>
      </c>
      <c r="D72" s="8" t="n">
        <v>55.4</v>
      </c>
      <c r="E72" s="8" t="inlineStr">
        <is>
          <t>% resolved</t>
        </is>
      </c>
      <c r="F72" s="8" t="inlineStr">
        <is>
          <t>deepseek_hf; benchlm_swepro</t>
        </is>
      </c>
      <c r="G72" s="8" t="inlineStr">
        <is>
          <t>DeepSeek - DeepSeek-V4-Pro Hugging Face model card; BenchLM - SWE-bench Pro leaderboard</t>
        </is>
      </c>
      <c r="H72" s="8" t="inlineStr">
        <is>
          <t>Max reasoning mode.</t>
        </is>
      </c>
    </row>
    <row r="73">
      <c r="A73" s="8" t="inlineStr">
        <is>
          <t>Coding</t>
        </is>
      </c>
      <c r="B73" s="8" t="inlineStr">
        <is>
          <t>SWE-Bench Multilingual</t>
        </is>
      </c>
      <c r="C73" s="8" t="inlineStr">
        <is>
          <t>DeepSeek V4-Pro Max</t>
        </is>
      </c>
      <c r="D73" s="8" t="n">
        <v>76.2</v>
      </c>
      <c r="E73" s="8" t="inlineStr">
        <is>
          <t>% resolved</t>
        </is>
      </c>
      <c r="F73" s="8" t="inlineStr">
        <is>
          <t>deepseek_hf</t>
        </is>
      </c>
      <c r="G73" s="8" t="inlineStr">
        <is>
          <t>DeepSeek - DeepSeek-V4-Pro Hugging Face model card</t>
        </is>
      </c>
      <c r="H73" s="8" t="inlineStr">
        <is>
          <t>Multi-language software tasks.</t>
        </is>
      </c>
    </row>
    <row r="74">
      <c r="A74" s="8" t="inlineStr">
        <is>
          <t>Agentic &amp; Other</t>
        </is>
      </c>
      <c r="B74" s="8" t="inlineStr">
        <is>
          <t>BrowseComp</t>
        </is>
      </c>
      <c r="C74" s="8" t="inlineStr">
        <is>
          <t>DeepSeek V4-Pro Max</t>
        </is>
      </c>
      <c r="D74" s="8" t="n">
        <v>83.40000000000001</v>
      </c>
      <c r="E74" s="8" t="inlineStr">
        <is>
          <t>% pass</t>
        </is>
      </c>
      <c r="F74" s="8" t="inlineStr">
        <is>
          <t>deepseek_hf</t>
        </is>
      </c>
      <c r="G74" s="8" t="inlineStr">
        <is>
          <t>DeepSeek - DeepSeek-V4-Pro Hugging Face model card</t>
        </is>
      </c>
      <c r="H74" s="8" t="inlineStr">
        <is>
          <t>Web browsing and retrieval.</t>
        </is>
      </c>
    </row>
    <row r="75">
      <c r="A75" s="8" t="inlineStr">
        <is>
          <t>Agentic &amp; Other</t>
        </is>
      </c>
      <c r="B75" s="8" t="inlineStr">
        <is>
          <t>HLE w/ tools</t>
        </is>
      </c>
      <c r="C75" s="8" t="inlineStr">
        <is>
          <t>DeepSeek V4-Pro Max</t>
        </is>
      </c>
      <c r="D75" s="8" t="n">
        <v>48.2</v>
      </c>
      <c r="E75" s="8" t="inlineStr">
        <is>
          <t>% pass</t>
        </is>
      </c>
      <c r="F75" s="8" t="inlineStr">
        <is>
          <t>deepseek_hf</t>
        </is>
      </c>
      <c r="G75" s="8" t="inlineStr">
        <is>
          <t>DeepSeek - DeepSeek-V4-Pro Hugging Face model card</t>
        </is>
      </c>
      <c r="H75" s="8" t="inlineStr">
        <is>
          <t>HLE with tools.</t>
        </is>
      </c>
    </row>
    <row r="76">
      <c r="A76" s="8" t="inlineStr">
        <is>
          <t>Writing &amp; Knowledge</t>
        </is>
      </c>
      <c r="B76" s="8" t="inlineStr">
        <is>
          <t>GDPval-AA</t>
        </is>
      </c>
      <c r="C76" s="8" t="inlineStr">
        <is>
          <t>DeepSeek V4-Pro Max</t>
        </is>
      </c>
      <c r="D76" s="8" t="n">
        <v>1554</v>
      </c>
      <c r="E76" s="8" t="inlineStr">
        <is>
          <t>Elo</t>
        </is>
      </c>
      <c r="F76" s="8" t="inlineStr">
        <is>
          <t>deepseek_hf</t>
        </is>
      </c>
      <c r="G76" s="8" t="inlineStr">
        <is>
          <t>DeepSeek - DeepSeek-V4-Pro Hugging Face model card</t>
        </is>
      </c>
      <c r="H76" s="8" t="inlineStr">
        <is>
          <t>Agentic knowledge-work Elo.</t>
        </is>
      </c>
    </row>
    <row r="77">
      <c r="A77" s="8" t="inlineStr">
        <is>
          <t>Agentic &amp; Other</t>
        </is>
      </c>
      <c r="B77" s="8" t="inlineStr">
        <is>
          <t>MCP-Atlas Public</t>
        </is>
      </c>
      <c r="C77" s="8" t="inlineStr">
        <is>
          <t>DeepSeek V4-Pro Max</t>
        </is>
      </c>
      <c r="D77" s="8" t="n">
        <v>73.59999999999999</v>
      </c>
      <c r="E77" s="8" t="inlineStr">
        <is>
          <t>% pass</t>
        </is>
      </c>
      <c r="F77" s="8" t="inlineStr">
        <is>
          <t>deepseek_hf</t>
        </is>
      </c>
      <c r="G77" s="8" t="inlineStr">
        <is>
          <t>DeepSeek - DeepSeek-V4-Pro Hugging Face model card</t>
        </is>
      </c>
      <c r="H77" s="8" t="inlineStr">
        <is>
          <t>Multi-tool orchestration.</t>
        </is>
      </c>
    </row>
    <row r="78">
      <c r="A78" s="8" t="inlineStr">
        <is>
          <t>Agentic &amp; Other</t>
        </is>
      </c>
      <c r="B78" s="8" t="inlineStr">
        <is>
          <t>Toolathlon</t>
        </is>
      </c>
      <c r="C78" s="8" t="inlineStr">
        <is>
          <t>DeepSeek V4-Pro Max</t>
        </is>
      </c>
      <c r="D78" s="8" t="n">
        <v>51.8</v>
      </c>
      <c r="E78" s="8" t="inlineStr">
        <is>
          <t>% pass</t>
        </is>
      </c>
      <c r="F78" s="8" t="inlineStr">
        <is>
          <t>deepseek_hf</t>
        </is>
      </c>
      <c r="G78" s="8" t="inlineStr">
        <is>
          <t>DeepSeek - DeepSeek-V4-Pro Hugging Face model card</t>
        </is>
      </c>
      <c r="H78" s="8" t="inlineStr">
        <is>
          <t>Tool-use benchmark.</t>
        </is>
      </c>
    </row>
    <row r="79">
      <c r="A79" s="8" t="inlineStr">
        <is>
          <t>Coding</t>
        </is>
      </c>
      <c r="B79" s="8" t="inlineStr">
        <is>
          <t>HumanEval</t>
        </is>
      </c>
      <c r="C79" s="8" t="inlineStr">
        <is>
          <t>DeepSeek V4-Pro Max</t>
        </is>
      </c>
      <c r="D79" s="8" t="n">
        <v>76.8</v>
      </c>
      <c r="E79" s="8" t="inlineStr">
        <is>
          <t>% pass@1</t>
        </is>
      </c>
      <c r="F79" s="8" t="inlineStr">
        <is>
          <t>deepseek_hf</t>
        </is>
      </c>
      <c r="G79" s="8" t="inlineStr">
        <is>
          <t>DeepSeek - DeepSeek-V4-Pro Hugging Face model card</t>
        </is>
      </c>
      <c r="H79" s="8" t="inlineStr">
        <is>
          <t>Base model table, simple Python tasks.</t>
        </is>
      </c>
    </row>
    <row r="80">
      <c r="A80" s="8" t="inlineStr">
        <is>
          <t>Math &amp; Reasoning</t>
        </is>
      </c>
      <c r="B80" s="8" t="inlineStr">
        <is>
          <t>GSM8K</t>
        </is>
      </c>
      <c r="C80" s="8" t="inlineStr">
        <is>
          <t>DeepSeek V4-Pro Max</t>
        </is>
      </c>
      <c r="D80" s="8" t="n">
        <v>92.59999999999999</v>
      </c>
      <c r="E80" s="8" t="inlineStr">
        <is>
          <t>% EM</t>
        </is>
      </c>
      <c r="F80" s="8" t="inlineStr">
        <is>
          <t>deepseek_hf</t>
        </is>
      </c>
      <c r="G80" s="8" t="inlineStr">
        <is>
          <t>DeepSeek - DeepSeek-V4-Pro Hugging Face model card</t>
        </is>
      </c>
      <c r="H80" s="8" t="inlineStr">
        <is>
          <t>Grade-school math word problems.</t>
        </is>
      </c>
    </row>
    <row r="81">
      <c r="A81" s="8" t="inlineStr">
        <is>
          <t>Math &amp; Reasoning</t>
        </is>
      </c>
      <c r="B81" s="8" t="inlineStr">
        <is>
          <t>MATH</t>
        </is>
      </c>
      <c r="C81" s="8" t="inlineStr">
        <is>
          <t>DeepSeek V4-Pro Max</t>
        </is>
      </c>
      <c r="D81" s="8" t="n">
        <v>64.5</v>
      </c>
      <c r="E81" s="8" t="inlineStr">
        <is>
          <t>% EM</t>
        </is>
      </c>
      <c r="F81" s="8" t="inlineStr">
        <is>
          <t>deepseek_hf</t>
        </is>
      </c>
      <c r="G81" s="8" t="inlineStr">
        <is>
          <t>DeepSeek - DeepSeek-V4-Pro Hugging Face model card</t>
        </is>
      </c>
      <c r="H81" s="8" t="inlineStr">
        <is>
          <t>Competition-style math problems.</t>
        </is>
      </c>
    </row>
    <row r="82">
      <c r="A82" s="8" t="inlineStr">
        <is>
          <t>Coding</t>
        </is>
      </c>
      <c r="B82" s="8" t="inlineStr">
        <is>
          <t>SWE-Bench Pro</t>
        </is>
      </c>
      <c r="C82" s="8" t="inlineStr">
        <is>
          <t>GLM-5.1</t>
        </is>
      </c>
      <c r="D82" s="8" t="n">
        <v>58.4</v>
      </c>
      <c r="E82" s="8" t="inlineStr">
        <is>
          <t>% resolved</t>
        </is>
      </c>
      <c r="F82" s="8" t="inlineStr">
        <is>
          <t>glm_nvidia; benchlm_swepro</t>
        </is>
      </c>
      <c r="G82" s="8" t="inlineStr">
        <is>
          <t>NVIDIA NIM - GLM-5.1 model card; BenchLM - SWE-bench Pro leaderboard</t>
        </is>
      </c>
      <c r="H82" s="8" t="inlineStr">
        <is>
          <t>Harder SWE-bench variant.</t>
        </is>
      </c>
    </row>
    <row r="83">
      <c r="A83" s="8" t="inlineStr">
        <is>
          <t>Coding</t>
        </is>
      </c>
      <c r="B83" s="8" t="inlineStr">
        <is>
          <t>NL2Repo</t>
        </is>
      </c>
      <c r="C83" s="8" t="inlineStr">
        <is>
          <t>GLM-5.1</t>
        </is>
      </c>
      <c r="D83" s="8" t="n">
        <v>42.7</v>
      </c>
      <c r="E83" s="8" t="inlineStr">
        <is>
          <t>% score</t>
        </is>
      </c>
      <c r="F83" s="8" t="inlineStr">
        <is>
          <t>glm_nvidia</t>
        </is>
      </c>
      <c r="G83" s="8" t="inlineStr">
        <is>
          <t>NVIDIA NIM - GLM-5.1 model card</t>
        </is>
      </c>
      <c r="H83" s="8" t="inlineStr">
        <is>
          <t>Repository-level engineering.</t>
        </is>
      </c>
    </row>
    <row r="84">
      <c r="A84" s="8" t="inlineStr">
        <is>
          <t>Coding</t>
        </is>
      </c>
      <c r="B84" s="8" t="inlineStr">
        <is>
          <t>Terminal-Bench 2.0</t>
        </is>
      </c>
      <c r="C84" s="8" t="inlineStr">
        <is>
          <t>GLM-5.1</t>
        </is>
      </c>
      <c r="D84" s="8" t="n">
        <v>63.5</v>
      </c>
      <c r="E84" s="8" t="inlineStr">
        <is>
          <t>% accuracy</t>
        </is>
      </c>
      <c r="F84" s="8" t="inlineStr">
        <is>
          <t>glm_nvidia</t>
        </is>
      </c>
      <c r="G84" s="8" t="inlineStr">
        <is>
          <t>NVIDIA NIM - GLM-5.1 model card</t>
        </is>
      </c>
      <c r="H84" s="8" t="inlineStr">
        <is>
          <t>Complex terminal workflows.</t>
        </is>
      </c>
    </row>
    <row r="85">
      <c r="A85" s="8" t="inlineStr">
        <is>
          <t>Agentic &amp; Other</t>
        </is>
      </c>
      <c r="B85" s="8" t="inlineStr">
        <is>
          <t>CyberGym</t>
        </is>
      </c>
      <c r="C85" s="8" t="inlineStr">
        <is>
          <t>GLM-5.1</t>
        </is>
      </c>
      <c r="D85" s="8" t="n">
        <v>68.7</v>
      </c>
      <c r="E85" s="8" t="inlineStr">
        <is>
          <t>% score</t>
        </is>
      </c>
      <c r="F85" s="8" t="inlineStr">
        <is>
          <t>glm_nvidia</t>
        </is>
      </c>
      <c r="G85" s="8" t="inlineStr">
        <is>
          <t>NVIDIA NIM - GLM-5.1 model card</t>
        </is>
      </c>
      <c r="H85" s="8" t="inlineStr">
        <is>
          <t>Cybersecurity challenge suite.</t>
        </is>
      </c>
    </row>
    <row r="86">
      <c r="A86" s="8" t="inlineStr">
        <is>
          <t>Math &amp; Reasoning</t>
        </is>
      </c>
      <c r="B86" s="8" t="inlineStr">
        <is>
          <t>AIME 2026</t>
        </is>
      </c>
      <c r="C86" s="8" t="inlineStr">
        <is>
          <t>GLM-5.1</t>
        </is>
      </c>
      <c r="D86" s="8" t="n">
        <v>95.3</v>
      </c>
      <c r="E86" s="8" t="inlineStr">
        <is>
          <t>% accuracy</t>
        </is>
      </c>
      <c r="F86" s="8" t="inlineStr">
        <is>
          <t>glm_nvidia</t>
        </is>
      </c>
      <c r="G86" s="8" t="inlineStr">
        <is>
          <t>NVIDIA NIM - GLM-5.1 model card</t>
        </is>
      </c>
      <c r="H86" s="8" t="inlineStr">
        <is>
          <t>Competition math.</t>
        </is>
      </c>
    </row>
    <row r="87">
      <c r="A87" s="8" t="inlineStr">
        <is>
          <t>Math &amp; Reasoning</t>
        </is>
      </c>
      <c r="B87" s="8" t="inlineStr">
        <is>
          <t>HMMT 2025 Nov</t>
        </is>
      </c>
      <c r="C87" s="8" t="inlineStr">
        <is>
          <t>GLM-5.1</t>
        </is>
      </c>
      <c r="D87" s="8" t="n">
        <v>94</v>
      </c>
      <c r="E87" s="8" t="inlineStr">
        <is>
          <t>% pass</t>
        </is>
      </c>
      <c r="F87" s="8" t="inlineStr">
        <is>
          <t>glm_nvidia</t>
        </is>
      </c>
      <c r="G87" s="8" t="inlineStr">
        <is>
          <t>NVIDIA NIM - GLM-5.1 model card</t>
        </is>
      </c>
      <c r="H87" s="8" t="inlineStr">
        <is>
          <t>Advanced contest math.</t>
        </is>
      </c>
    </row>
    <row r="88">
      <c r="A88" s="8" t="inlineStr">
        <is>
          <t>Math &amp; Reasoning</t>
        </is>
      </c>
      <c r="B88" s="8" t="inlineStr">
        <is>
          <t>HMMT 2026 Feb</t>
        </is>
      </c>
      <c r="C88" s="8" t="inlineStr">
        <is>
          <t>GLM-5.1</t>
        </is>
      </c>
      <c r="D88" s="8" t="n">
        <v>82.59999999999999</v>
      </c>
      <c r="E88" s="8" t="inlineStr">
        <is>
          <t>% pass</t>
        </is>
      </c>
      <c r="F88" s="8" t="inlineStr">
        <is>
          <t>glm_nvidia</t>
        </is>
      </c>
      <c r="G88" s="8" t="inlineStr">
        <is>
          <t>NVIDIA NIM - GLM-5.1 model card</t>
        </is>
      </c>
      <c r="H88" s="8" t="inlineStr">
        <is>
          <t>Advanced contest math.</t>
        </is>
      </c>
    </row>
    <row r="89">
      <c r="A89" s="8" t="inlineStr">
        <is>
          <t>Math &amp; Reasoning</t>
        </is>
      </c>
      <c r="B89" s="8" t="inlineStr">
        <is>
          <t>GPQA-Diamond</t>
        </is>
      </c>
      <c r="C89" s="8" t="inlineStr">
        <is>
          <t>GLM-5.1</t>
        </is>
      </c>
      <c r="D89" s="8" t="n">
        <v>86.2</v>
      </c>
      <c r="E89" s="8" t="inlineStr">
        <is>
          <t>% accuracy</t>
        </is>
      </c>
      <c r="F89" s="8" t="inlineStr">
        <is>
          <t>glm_nvidia</t>
        </is>
      </c>
      <c r="G89" s="8" t="inlineStr">
        <is>
          <t>NVIDIA NIM - GLM-5.1 model card</t>
        </is>
      </c>
      <c r="H89" s="8" t="inlineStr">
        <is>
          <t>PhD-level science Q&amp;A.</t>
        </is>
      </c>
    </row>
    <row r="90">
      <c r="A90" s="8" t="inlineStr">
        <is>
          <t>Math &amp; Reasoning</t>
        </is>
      </c>
      <c r="B90" s="8" t="inlineStr">
        <is>
          <t>IMO-AnswerBench</t>
        </is>
      </c>
      <c r="C90" s="8" t="inlineStr">
        <is>
          <t>GLM-5.1</t>
        </is>
      </c>
      <c r="D90" s="8" t="n">
        <v>83.8</v>
      </c>
      <c r="E90" s="8" t="inlineStr">
        <is>
          <t>% pass</t>
        </is>
      </c>
      <c r="F90" s="8" t="inlineStr">
        <is>
          <t>glm_nvidia</t>
        </is>
      </c>
      <c r="G90" s="8" t="inlineStr">
        <is>
          <t>NVIDIA NIM - GLM-5.1 model card</t>
        </is>
      </c>
      <c r="H90" s="8" t="inlineStr">
        <is>
          <t>Olympiad-style math answers.</t>
        </is>
      </c>
    </row>
    <row r="91">
      <c r="A91" s="8" t="inlineStr">
        <is>
          <t>Agentic &amp; Other</t>
        </is>
      </c>
      <c r="B91" s="8" t="inlineStr">
        <is>
          <t>HLE</t>
        </is>
      </c>
      <c r="C91" s="8" t="inlineStr">
        <is>
          <t>GLM-5.1</t>
        </is>
      </c>
      <c r="D91" s="8" t="n">
        <v>31</v>
      </c>
      <c r="E91" s="8" t="inlineStr">
        <is>
          <t>% pass</t>
        </is>
      </c>
      <c r="F91" s="8" t="inlineStr">
        <is>
          <t>glm_nvidia</t>
        </is>
      </c>
      <c r="G91" s="8" t="inlineStr">
        <is>
          <t>NVIDIA NIM - GLM-5.1 model card</t>
        </is>
      </c>
      <c r="H91" s="8" t="inlineStr">
        <is>
          <t>Humanity's Last Exam without tools.</t>
        </is>
      </c>
    </row>
    <row r="92">
      <c r="A92" s="8" t="inlineStr">
        <is>
          <t>Agentic &amp; Other</t>
        </is>
      </c>
      <c r="B92" s="8" t="inlineStr">
        <is>
          <t>HLE w/ tools</t>
        </is>
      </c>
      <c r="C92" s="8" t="inlineStr">
        <is>
          <t>GLM-5.1</t>
        </is>
      </c>
      <c r="D92" s="8" t="n">
        <v>52.3</v>
      </c>
      <c r="E92" s="8" t="inlineStr">
        <is>
          <t>% pass</t>
        </is>
      </c>
      <c r="F92" s="8" t="inlineStr">
        <is>
          <t>glm_nvidia</t>
        </is>
      </c>
      <c r="G92" s="8" t="inlineStr">
        <is>
          <t>NVIDIA NIM - GLM-5.1 model card</t>
        </is>
      </c>
      <c r="H92" s="8" t="inlineStr">
        <is>
          <t>HLE with tools.</t>
        </is>
      </c>
    </row>
    <row r="93">
      <c r="A93" s="8" t="inlineStr">
        <is>
          <t>Agentic &amp; Other</t>
        </is>
      </c>
      <c r="B93" s="8" t="inlineStr">
        <is>
          <t>BrowseComp</t>
        </is>
      </c>
      <c r="C93" s="8" t="inlineStr">
        <is>
          <t>GLM-5.1</t>
        </is>
      </c>
      <c r="D93" s="8" t="n">
        <v>68</v>
      </c>
      <c r="E93" s="8" t="inlineStr">
        <is>
          <t>% pass</t>
        </is>
      </c>
      <c r="F93" s="8" t="inlineStr">
        <is>
          <t>glm_nvidia</t>
        </is>
      </c>
      <c r="G93" s="8" t="inlineStr">
        <is>
          <t>NVIDIA NIM - GLM-5.1 model card</t>
        </is>
      </c>
      <c r="H93" s="8" t="inlineStr">
        <is>
          <t>Web browsing and retrieval.</t>
        </is>
      </c>
    </row>
    <row r="94">
      <c r="A94" s="8" t="inlineStr">
        <is>
          <t>Agentic &amp; Other</t>
        </is>
      </c>
      <c r="B94" s="8" t="inlineStr">
        <is>
          <t>BrowseComp w/ context management</t>
        </is>
      </c>
      <c r="C94" s="8" t="inlineStr">
        <is>
          <t>GLM-5.1</t>
        </is>
      </c>
      <c r="D94" s="8" t="n">
        <v>79.3</v>
      </c>
      <c r="E94" s="8" t="inlineStr">
        <is>
          <t>% pass</t>
        </is>
      </c>
      <c r="F94" s="8" t="inlineStr">
        <is>
          <t>glm_nvidia</t>
        </is>
      </c>
      <c r="G94" s="8" t="inlineStr">
        <is>
          <t>NVIDIA NIM - GLM-5.1 model card</t>
        </is>
      </c>
      <c r="H94" s="8" t="inlineStr">
        <is>
          <t>Web browsing with context management.</t>
        </is>
      </c>
    </row>
    <row r="95">
      <c r="A95" s="8" t="inlineStr">
        <is>
          <t>Agentic &amp; Other</t>
        </is>
      </c>
      <c r="B95" s="8" t="inlineStr">
        <is>
          <t>Tool-Decathlon</t>
        </is>
      </c>
      <c r="C95" s="8" t="inlineStr">
        <is>
          <t>GLM-5.1</t>
        </is>
      </c>
      <c r="D95" s="8" t="n">
        <v>40.7</v>
      </c>
      <c r="E95" s="8" t="inlineStr">
        <is>
          <t>% pass</t>
        </is>
      </c>
      <c r="F95" s="8" t="inlineStr">
        <is>
          <t>glm_nvidia</t>
        </is>
      </c>
      <c r="G95" s="8" t="inlineStr">
        <is>
          <t>NVIDIA NIM - GLM-5.1 model card</t>
        </is>
      </c>
      <c r="H95" s="8" t="inlineStr">
        <is>
          <t>Tool-use benchmark.</t>
        </is>
      </c>
    </row>
    <row r="96">
      <c r="A96" s="8" t="inlineStr">
        <is>
          <t>Agentic &amp; Other</t>
        </is>
      </c>
      <c r="B96" s="8" t="inlineStr">
        <is>
          <t>tau3-Bench</t>
        </is>
      </c>
      <c r="C96" s="8" t="inlineStr">
        <is>
          <t>GLM-5.1</t>
        </is>
      </c>
      <c r="D96" s="8" t="n">
        <v>70.59999999999999</v>
      </c>
      <c r="E96" s="8" t="inlineStr">
        <is>
          <t>% pass</t>
        </is>
      </c>
      <c r="F96" s="8" t="inlineStr">
        <is>
          <t>glm_nvidia</t>
        </is>
      </c>
      <c r="G96" s="8" t="inlineStr">
        <is>
          <t>NVIDIA NIM - GLM-5.1 model card</t>
        </is>
      </c>
      <c r="H96" s="8" t="inlineStr">
        <is>
          <t>Complex tool/customer-service style tasks.</t>
        </is>
      </c>
    </row>
    <row r="97">
      <c r="A97" s="8" t="inlineStr">
        <is>
          <t>Agentic &amp; Other</t>
        </is>
      </c>
      <c r="B97" s="8" t="inlineStr">
        <is>
          <t>MCP-Atlas Public</t>
        </is>
      </c>
      <c r="C97" s="8" t="inlineStr">
        <is>
          <t>GLM-5.1</t>
        </is>
      </c>
      <c r="D97" s="8" t="n">
        <v>71.8</v>
      </c>
      <c r="E97" s="8" t="inlineStr">
        <is>
          <t>% pass</t>
        </is>
      </c>
      <c r="F97" s="8" t="inlineStr">
        <is>
          <t>glm_nvidia</t>
        </is>
      </c>
      <c r="G97" s="8" t="inlineStr">
        <is>
          <t>NVIDIA NIM - GLM-5.1 model card</t>
        </is>
      </c>
      <c r="H97" s="8" t="inlineStr">
        <is>
          <t>Multi-tool orchestration.</t>
        </is>
      </c>
    </row>
    <row r="98">
      <c r="A98" s="8" t="inlineStr">
        <is>
          <t>Writing &amp; Knowledge</t>
        </is>
      </c>
      <c r="B98" s="8" t="inlineStr">
        <is>
          <t>GDPval-AA</t>
        </is>
      </c>
      <c r="C98" s="8" t="inlineStr">
        <is>
          <t>GLM-5.1</t>
        </is>
      </c>
      <c r="D98" s="8" t="n">
        <v>1535</v>
      </c>
      <c r="E98" s="8" t="inlineStr">
        <is>
          <t>Elo</t>
        </is>
      </c>
      <c r="F98" s="8" t="inlineStr">
        <is>
          <t>deepseek_hf</t>
        </is>
      </c>
      <c r="G98" s="8" t="inlineStr">
        <is>
          <t>DeepSeek - DeepSeek-V4-Pro Hugging Face model card</t>
        </is>
      </c>
      <c r="H98" s="8" t="inlineStr">
        <is>
          <t>DeepSeek comparison table.</t>
        </is>
      </c>
    </row>
  </sheetData>
  <autoFilter ref="A1:H9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6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8" customWidth="1" min="3" max="3"/>
    <col width="42" customWidth="1" min="4" max="4"/>
    <col width="18" customWidth="1" min="6" max="6"/>
  </cols>
  <sheetData>
    <row r="1">
      <c r="A1" s="9" t="inlineStr">
        <is>
          <t>GSM8K | 1 - Starter math</t>
        </is>
      </c>
    </row>
    <row r="2">
      <c r="A2" s="10" t="inlineStr">
        <is>
          <t>Model</t>
        </is>
      </c>
      <c r="B2" s="10" t="inlineStr">
        <is>
          <t>Score</t>
        </is>
      </c>
      <c r="C2" s="10" t="inlineStr">
        <is>
          <t>Unit</t>
        </is>
      </c>
      <c r="D2" s="10" t="inlineStr">
        <is>
          <t>Source</t>
        </is>
      </c>
    </row>
    <row r="3">
      <c r="A3" t="inlineStr">
        <is>
          <t>DeepSeek V4-Pro Max</t>
        </is>
      </c>
      <c r="B3" t="n">
        <v>92.59999999999999</v>
      </c>
      <c r="C3" t="inlineStr">
        <is>
          <t>% EM</t>
        </is>
      </c>
      <c r="D3" t="inlineStr">
        <is>
          <t>DeepSeek - DeepSeek-V4-Pro Hugging Face model card</t>
        </is>
      </c>
    </row>
    <row r="13">
      <c r="A13" s="4" t="inlineStr">
        <is>
          <t>What is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</row>
    <row r="14" ht="45" customHeight="1">
      <c r="A14" s="11" t="inlineStr">
        <is>
          <t>Grade-school arithmetic word problems.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</row>
    <row r="15" ht="45" customHeight="1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</row>
    <row r="16" ht="45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</row>
    <row r="18">
      <c r="A18" s="4" t="inlineStr">
        <is>
          <t>Explain for 11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</row>
    <row r="19" ht="45" customHeight="1">
      <c r="A19" s="11" t="inlineStr">
        <is>
          <t>Story problems: read the sentence, set up the numbers, and calculate the answer.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</row>
    <row r="20" ht="45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</row>
    <row r="21" ht="45" customHeight="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</row>
    <row r="23">
      <c r="A23" s="4" t="inlineStr">
        <is>
          <t>Top-score example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</row>
    <row r="24" ht="45" customHeight="1">
      <c r="A24" s="11" t="inlineStr">
        <is>
          <t>Top available score here: DeepSeek V4-Pro Max at 92.6 % EM. At that level, the model is solving multi-step school word problems with clean arithmetic.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</row>
    <row r="25" ht="45" customHeight="1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</row>
    <row r="26" ht="45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</row>
    <row r="28">
      <c r="A28" s="4" t="inlineStr">
        <is>
          <t>Similar tests and differences</t>
        </is>
      </c>
      <c r="B28" s="5" t="n"/>
      <c r="C28" s="5" t="n"/>
      <c r="D28" s="5" t="n"/>
      <c r="E28" s="5" t="n"/>
      <c r="F28" s="5" t="n"/>
      <c r="G28" s="5" t="n"/>
      <c r="H28" s="5" t="n"/>
      <c r="I28" s="5" t="n"/>
    </row>
    <row r="29" ht="45" customHeight="1">
      <c r="A29" s="11" t="inlineStr">
        <is>
          <t>Easier than MATH, AIME, HMMT, and IMO-style tests.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</row>
    <row r="30" ht="45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</row>
    <row r="31" ht="45" customHeight="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</row>
    <row r="35">
      <c r="A35" s="9" t="inlineStr">
        <is>
          <t>HumanEval | 1 - Starter coding</t>
        </is>
      </c>
    </row>
    <row r="36">
      <c r="A36" s="10" t="inlineStr">
        <is>
          <t>Model</t>
        </is>
      </c>
      <c r="B36" s="10" t="inlineStr">
        <is>
          <t>Score</t>
        </is>
      </c>
      <c r="C36" s="10" t="inlineStr">
        <is>
          <t>Unit</t>
        </is>
      </c>
      <c r="D36" s="10" t="inlineStr">
        <is>
          <t>Source</t>
        </is>
      </c>
    </row>
    <row r="37">
      <c r="A37" t="inlineStr">
        <is>
          <t>DeepSeek V4-Pro Max</t>
        </is>
      </c>
      <c r="B37" t="n">
        <v>76.8</v>
      </c>
      <c r="C37" t="inlineStr">
        <is>
          <t>% pass@1</t>
        </is>
      </c>
      <c r="D37" t="inlineStr">
        <is>
          <t>DeepSeek - DeepSeek-V4-Pro Hugging Face model card</t>
        </is>
      </c>
    </row>
    <row r="47">
      <c r="A47" s="4" t="inlineStr">
        <is>
          <t>What is</t>
        </is>
      </c>
      <c r="B47" s="5" t="n"/>
      <c r="C47" s="5" t="n"/>
      <c r="D47" s="5" t="n"/>
      <c r="E47" s="5" t="n"/>
      <c r="F47" s="5" t="n"/>
      <c r="G47" s="5" t="n"/>
      <c r="H47" s="5" t="n"/>
      <c r="I47" s="5" t="n"/>
    </row>
    <row r="48" ht="45" customHeight="1">
      <c r="A48" s="11" t="inlineStr">
        <is>
          <t>Small Python function-writing tasks checked by hidden tests.</t>
        </is>
      </c>
      <c r="B48" s="5" t="n"/>
      <c r="C48" s="5" t="n"/>
      <c r="D48" s="5" t="n"/>
      <c r="E48" s="5" t="n"/>
      <c r="F48" s="5" t="n"/>
      <c r="G48" s="5" t="n"/>
      <c r="H48" s="5" t="n"/>
      <c r="I48" s="5" t="n"/>
    </row>
    <row r="49" ht="45" customHeight="1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</row>
    <row r="50" ht="45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</row>
    <row r="52">
      <c r="A52" s="4" t="inlineStr">
        <is>
          <t>Explain for 11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</row>
    <row r="53" ht="45" customHeight="1">
      <c r="A53" s="11" t="inlineStr">
        <is>
          <t>Write one short function, then the computer tries secret examples to see if it works.</t>
        </is>
      </c>
      <c r="B53" s="5" t="n"/>
      <c r="C53" s="5" t="n"/>
      <c r="D53" s="5" t="n"/>
      <c r="E53" s="5" t="n"/>
      <c r="F53" s="5" t="n"/>
      <c r="G53" s="5" t="n"/>
      <c r="H53" s="5" t="n"/>
      <c r="I53" s="5" t="n"/>
    </row>
    <row r="54" ht="45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</row>
    <row r="55" ht="45" customHeight="1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</row>
    <row r="57">
      <c r="A57" s="4" t="inlineStr">
        <is>
          <t>Top-score example</t>
        </is>
      </c>
      <c r="B57" s="5" t="n"/>
      <c r="C57" s="5" t="n"/>
      <c r="D57" s="5" t="n"/>
      <c r="E57" s="5" t="n"/>
      <c r="F57" s="5" t="n"/>
      <c r="G57" s="5" t="n"/>
      <c r="H57" s="5" t="n"/>
      <c r="I57" s="5" t="n"/>
    </row>
    <row r="58" ht="45" customHeight="1">
      <c r="A58" s="11" t="inlineStr">
        <is>
          <t>Top available score here: DeepSeek V4-Pro Max at 76.8 % pass@1. At that level, the model is solving basic Python functions such as list cleanup, string logic, or simple algorithms.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</row>
    <row r="59" ht="45" customHeight="1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</row>
    <row r="60" ht="45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</row>
    <row r="62">
      <c r="A62" s="4" t="inlineStr">
        <is>
          <t>Similar tests and differences</t>
        </is>
      </c>
      <c r="B62" s="5" t="n"/>
      <c r="C62" s="5" t="n"/>
      <c r="D62" s="5" t="n"/>
      <c r="E62" s="5" t="n"/>
      <c r="F62" s="5" t="n"/>
      <c r="G62" s="5" t="n"/>
      <c r="H62" s="5" t="n"/>
      <c r="I62" s="5" t="n"/>
    </row>
    <row r="63" ht="45" customHeight="1">
      <c r="A63" s="11" t="inlineStr">
        <is>
          <t>Simpler and older than LiveCodeBench; much smaller than SWE-Bench.</t>
        </is>
      </c>
      <c r="B63" s="5" t="n"/>
      <c r="C63" s="5" t="n"/>
      <c r="D63" s="5" t="n"/>
      <c r="E63" s="5" t="n"/>
      <c r="F63" s="5" t="n"/>
      <c r="G63" s="5" t="n"/>
      <c r="H63" s="5" t="n"/>
      <c r="I63" s="5" t="n"/>
    </row>
    <row r="64" ht="45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</row>
    <row r="65" ht="45" customHeight="1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</row>
    <row r="69">
      <c r="A69" s="9" t="inlineStr">
        <is>
          <t>SimpleQA-Verified | 1 - Starter facts</t>
        </is>
      </c>
    </row>
    <row r="70">
      <c r="A70" s="10" t="inlineStr">
        <is>
          <t>Model</t>
        </is>
      </c>
      <c r="B70" s="10" t="inlineStr">
        <is>
          <t>Score</t>
        </is>
      </c>
      <c r="C70" s="10" t="inlineStr">
        <is>
          <t>Unit</t>
        </is>
      </c>
      <c r="D70" s="10" t="inlineStr">
        <is>
          <t>Source</t>
        </is>
      </c>
    </row>
    <row r="71">
      <c r="A71" t="inlineStr">
        <is>
          <t>DeepSeek V4-Pro Max</t>
        </is>
      </c>
      <c r="B71" t="n">
        <v>57.9</v>
      </c>
      <c r="C71" t="inlineStr">
        <is>
          <t>% pass</t>
        </is>
      </c>
      <c r="D71" t="inlineStr">
        <is>
          <t>DeepSeek - DeepSeek-V4-Pro Hugging Face model card</t>
        </is>
      </c>
    </row>
    <row r="81">
      <c r="A81" s="4" t="inlineStr">
        <is>
          <t>What is</t>
        </is>
      </c>
      <c r="B81" s="5" t="n"/>
      <c r="C81" s="5" t="n"/>
      <c r="D81" s="5" t="n"/>
      <c r="E81" s="5" t="n"/>
      <c r="F81" s="5" t="n"/>
      <c r="G81" s="5" t="n"/>
      <c r="H81" s="5" t="n"/>
      <c r="I81" s="5" t="n"/>
    </row>
    <row r="82" ht="45" customHeight="1">
      <c r="A82" s="11" t="inlineStr">
        <is>
          <t>Short factual questions with verified answers.</t>
        </is>
      </c>
      <c r="B82" s="5" t="n"/>
      <c r="C82" s="5" t="n"/>
      <c r="D82" s="5" t="n"/>
      <c r="E82" s="5" t="n"/>
      <c r="F82" s="5" t="n"/>
      <c r="G82" s="5" t="n"/>
      <c r="H82" s="5" t="n"/>
      <c r="I82" s="5" t="n"/>
    </row>
    <row r="83" ht="45" customHeight="1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</row>
    <row r="84" ht="45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</row>
    <row r="86">
      <c r="A86" s="4" t="inlineStr">
        <is>
          <t>Explain for 11</t>
        </is>
      </c>
      <c r="B86" s="5" t="n"/>
      <c r="C86" s="5" t="n"/>
      <c r="D86" s="5" t="n"/>
      <c r="E86" s="5" t="n"/>
      <c r="F86" s="5" t="n"/>
      <c r="G86" s="5" t="n"/>
      <c r="H86" s="5" t="n"/>
      <c r="I86" s="5" t="n"/>
    </row>
    <row r="87" ht="45" customHeight="1">
      <c r="A87" s="11" t="inlineStr">
        <is>
          <t>A fact-check quiz: answer clearly and do not make things up.</t>
        </is>
      </c>
      <c r="B87" s="5" t="n"/>
      <c r="C87" s="5" t="n"/>
      <c r="D87" s="5" t="n"/>
      <c r="E87" s="5" t="n"/>
      <c r="F87" s="5" t="n"/>
      <c r="G87" s="5" t="n"/>
      <c r="H87" s="5" t="n"/>
      <c r="I87" s="5" t="n"/>
    </row>
    <row r="88" ht="45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</row>
    <row r="89" ht="45" customHeight="1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</row>
    <row r="91">
      <c r="A91" s="4" t="inlineStr">
        <is>
          <t>Top-score example</t>
        </is>
      </c>
      <c r="B91" s="5" t="n"/>
      <c r="C91" s="5" t="n"/>
      <c r="D91" s="5" t="n"/>
      <c r="E91" s="5" t="n"/>
      <c r="F91" s="5" t="n"/>
      <c r="G91" s="5" t="n"/>
      <c r="H91" s="5" t="n"/>
      <c r="I91" s="5" t="n"/>
    </row>
    <row r="92" ht="45" customHeight="1">
      <c r="A92" s="11" t="inlineStr">
        <is>
          <t>Top available score here: DeepSeek V4-Pro Max at 57.9 % pass. At that level, the model is solving straight factual questions where accuracy matters more than style.</t>
        </is>
      </c>
      <c r="B92" s="5" t="n"/>
      <c r="C92" s="5" t="n"/>
      <c r="D92" s="5" t="n"/>
      <c r="E92" s="5" t="n"/>
      <c r="F92" s="5" t="n"/>
      <c r="G92" s="5" t="n"/>
      <c r="H92" s="5" t="n"/>
      <c r="I92" s="5" t="n"/>
    </row>
    <row r="93" ht="45" customHeight="1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</row>
    <row r="94" ht="45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</row>
    <row r="96">
      <c r="A96" s="4" t="inlineStr">
        <is>
          <t>Similar tests and differences</t>
        </is>
      </c>
      <c r="B96" s="5" t="n"/>
      <c r="C96" s="5" t="n"/>
      <c r="D96" s="5" t="n"/>
      <c r="E96" s="5" t="n"/>
      <c r="F96" s="5" t="n"/>
      <c r="G96" s="5" t="n"/>
      <c r="H96" s="5" t="n"/>
      <c r="I96" s="5" t="n"/>
    </row>
    <row r="97" ht="45" customHeight="1">
      <c r="A97" s="11" t="inlineStr">
        <is>
          <t>Unlike BrowseComp, the answer should not require a long web hunt.</t>
        </is>
      </c>
      <c r="B97" s="5" t="n"/>
      <c r="C97" s="5" t="n"/>
      <c r="D97" s="5" t="n"/>
      <c r="E97" s="5" t="n"/>
      <c r="F97" s="5" t="n"/>
      <c r="G97" s="5" t="n"/>
      <c r="H97" s="5" t="n"/>
      <c r="I97" s="5" t="n"/>
    </row>
    <row r="98" ht="45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</row>
    <row r="99" ht="45" customHeight="1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</row>
    <row r="103">
      <c r="A103" s="9" t="inlineStr">
        <is>
          <t>MATH | 2 - School contest math</t>
        </is>
      </c>
    </row>
    <row r="104">
      <c r="A104" s="10" t="inlineStr">
        <is>
          <t>Model</t>
        </is>
      </c>
      <c r="B104" s="10" t="inlineStr">
        <is>
          <t>Score</t>
        </is>
      </c>
      <c r="C104" s="10" t="inlineStr">
        <is>
          <t>Unit</t>
        </is>
      </c>
      <c r="D104" s="10" t="inlineStr">
        <is>
          <t>Source</t>
        </is>
      </c>
    </row>
    <row r="105">
      <c r="A105" t="inlineStr">
        <is>
          <t>DeepSeek V4-Pro Max</t>
        </is>
      </c>
      <c r="B105" t="n">
        <v>64.5</v>
      </c>
      <c r="C105" t="inlineStr">
        <is>
          <t>% EM</t>
        </is>
      </c>
      <c r="D105" t="inlineStr">
        <is>
          <t>DeepSeek - DeepSeek-V4-Pro Hugging Face model card</t>
        </is>
      </c>
    </row>
    <row r="115">
      <c r="A115" s="4" t="inlineStr">
        <is>
          <t>What is</t>
        </is>
      </c>
      <c r="B115" s="5" t="n"/>
      <c r="C115" s="5" t="n"/>
      <c r="D115" s="5" t="n"/>
      <c r="E115" s="5" t="n"/>
      <c r="F115" s="5" t="n"/>
      <c r="G115" s="5" t="n"/>
      <c r="H115" s="5" t="n"/>
      <c r="I115" s="5" t="n"/>
    </row>
    <row r="116" ht="45" customHeight="1">
      <c r="A116" s="11" t="inlineStr">
        <is>
          <t>Competition-style math problems covering algebra, geometry, counting, and number theory.</t>
        </is>
      </c>
      <c r="B116" s="5" t="n"/>
      <c r="C116" s="5" t="n"/>
      <c r="D116" s="5" t="n"/>
      <c r="E116" s="5" t="n"/>
      <c r="F116" s="5" t="n"/>
      <c r="G116" s="5" t="n"/>
      <c r="H116" s="5" t="n"/>
      <c r="I116" s="5" t="n"/>
    </row>
    <row r="117" ht="45" customHeight="1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</row>
    <row r="118" ht="45" customHeight="1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</row>
    <row r="120">
      <c r="A120" s="4" t="inlineStr">
        <is>
          <t>Explain for 11</t>
        </is>
      </c>
      <c r="B120" s="5" t="n"/>
      <c r="C120" s="5" t="n"/>
      <c r="D120" s="5" t="n"/>
      <c r="E120" s="5" t="n"/>
      <c r="F120" s="5" t="n"/>
      <c r="G120" s="5" t="n"/>
      <c r="H120" s="5" t="n"/>
      <c r="I120" s="5" t="n"/>
    </row>
    <row r="121" ht="45" customHeight="1">
      <c r="A121" s="11" t="inlineStr">
        <is>
          <t>Hard school math puzzles where one missed step ruins the answer.</t>
        </is>
      </c>
      <c r="B121" s="5" t="n"/>
      <c r="C121" s="5" t="n"/>
      <c r="D121" s="5" t="n"/>
      <c r="E121" s="5" t="n"/>
      <c r="F121" s="5" t="n"/>
      <c r="G121" s="5" t="n"/>
      <c r="H121" s="5" t="n"/>
      <c r="I121" s="5" t="n"/>
    </row>
    <row r="122" ht="45" customHeight="1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</row>
    <row r="123" ht="45" customHeight="1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</row>
    <row r="125">
      <c r="A125" s="4" t="inlineStr">
        <is>
          <t>Top-score example</t>
        </is>
      </c>
      <c r="B125" s="5" t="n"/>
      <c r="C125" s="5" t="n"/>
      <c r="D125" s="5" t="n"/>
      <c r="E125" s="5" t="n"/>
      <c r="F125" s="5" t="n"/>
      <c r="G125" s="5" t="n"/>
      <c r="H125" s="5" t="n"/>
      <c r="I125" s="5" t="n"/>
    </row>
    <row r="126" ht="45" customHeight="1">
      <c r="A126" s="11" t="inlineStr">
        <is>
          <t>Top available score here: DeepSeek V4-Pro Max at 64.5 % EM. At that level, the model is solving contest math that needs several steps, not just arithmetic.</t>
        </is>
      </c>
      <c r="B126" s="5" t="n"/>
      <c r="C126" s="5" t="n"/>
      <c r="D126" s="5" t="n"/>
      <c r="E126" s="5" t="n"/>
      <c r="F126" s="5" t="n"/>
      <c r="G126" s="5" t="n"/>
      <c r="H126" s="5" t="n"/>
      <c r="I126" s="5" t="n"/>
    </row>
    <row r="127" ht="45" customHeight="1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</row>
    <row r="128" ht="45" customHeight="1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</row>
    <row r="130">
      <c r="A130" s="4" t="inlineStr">
        <is>
          <t>Similar tests and differences</t>
        </is>
      </c>
      <c r="B130" s="5" t="n"/>
      <c r="C130" s="5" t="n"/>
      <c r="D130" s="5" t="n"/>
      <c r="E130" s="5" t="n"/>
      <c r="F130" s="5" t="n"/>
      <c r="G130" s="5" t="n"/>
      <c r="H130" s="5" t="n"/>
      <c r="I130" s="5" t="n"/>
    </row>
    <row r="131" ht="45" customHeight="1">
      <c r="A131" s="11" t="inlineStr">
        <is>
          <t>Harder than GSM8K; easier than AIME/HMMT/IMO and FrontierMath.</t>
        </is>
      </c>
      <c r="B131" s="5" t="n"/>
      <c r="C131" s="5" t="n"/>
      <c r="D131" s="5" t="n"/>
      <c r="E131" s="5" t="n"/>
      <c r="F131" s="5" t="n"/>
      <c r="G131" s="5" t="n"/>
      <c r="H131" s="5" t="n"/>
      <c r="I131" s="5" t="n"/>
    </row>
    <row r="132" ht="45" customHeight="1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</row>
    <row r="133" ht="45" customHeight="1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</row>
    <row r="137">
      <c r="A137" s="9" t="inlineStr">
        <is>
          <t>MMLU-Pro | 2 - Broad knowledge</t>
        </is>
      </c>
    </row>
    <row r="138">
      <c r="A138" s="10" t="inlineStr">
        <is>
          <t>Model</t>
        </is>
      </c>
      <c r="B138" s="10" t="inlineStr">
        <is>
          <t>Score</t>
        </is>
      </c>
      <c r="C138" s="10" t="inlineStr">
        <is>
          <t>Unit</t>
        </is>
      </c>
      <c r="D138" s="10" t="inlineStr">
        <is>
          <t>Source</t>
        </is>
      </c>
    </row>
    <row r="139">
      <c r="A139" t="inlineStr">
        <is>
          <t>DeepSeek V4-Pro Max</t>
        </is>
      </c>
      <c r="B139" t="n">
        <v>87.5</v>
      </c>
      <c r="C139" t="inlineStr">
        <is>
          <t>% EM</t>
        </is>
      </c>
      <c r="D139" t="inlineStr">
        <is>
          <t>DeepSeek - DeepSeek-V4-Pro Hugging Face model card</t>
        </is>
      </c>
    </row>
    <row r="149">
      <c r="A149" s="4" t="inlineStr">
        <is>
          <t>What is</t>
        </is>
      </c>
      <c r="B149" s="5" t="n"/>
      <c r="C149" s="5" t="n"/>
      <c r="D149" s="5" t="n"/>
      <c r="E149" s="5" t="n"/>
      <c r="F149" s="5" t="n"/>
      <c r="G149" s="5" t="n"/>
      <c r="H149" s="5" t="n"/>
      <c r="I149" s="5" t="n"/>
    </row>
    <row r="150" ht="45" customHeight="1">
      <c r="A150" s="11" t="inlineStr">
        <is>
          <t>A harder version of MMLU with professional and academic multiple-choice questions.</t>
        </is>
      </c>
      <c r="B150" s="5" t="n"/>
      <c r="C150" s="5" t="n"/>
      <c r="D150" s="5" t="n"/>
      <c r="E150" s="5" t="n"/>
      <c r="F150" s="5" t="n"/>
      <c r="G150" s="5" t="n"/>
      <c r="H150" s="5" t="n"/>
      <c r="I150" s="5" t="n"/>
    </row>
    <row r="151" ht="45" customHeight="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</row>
    <row r="152" ht="45" customHeight="1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</row>
    <row r="154">
      <c r="A154" s="4" t="inlineStr">
        <is>
          <t>Explain for 11</t>
        </is>
      </c>
      <c r="B154" s="5" t="n"/>
      <c r="C154" s="5" t="n"/>
      <c r="D154" s="5" t="n"/>
      <c r="E154" s="5" t="n"/>
      <c r="F154" s="5" t="n"/>
      <c r="G154" s="5" t="n"/>
      <c r="H154" s="5" t="n"/>
      <c r="I154" s="5" t="n"/>
    </row>
    <row r="155" ht="45" customHeight="1">
      <c r="A155" s="11" t="inlineStr">
        <is>
          <t>A big quiz across school and work subjects, but the questions try to trick shallow guessing.</t>
        </is>
      </c>
      <c r="B155" s="5" t="n"/>
      <c r="C155" s="5" t="n"/>
      <c r="D155" s="5" t="n"/>
      <c r="E155" s="5" t="n"/>
      <c r="F155" s="5" t="n"/>
      <c r="G155" s="5" t="n"/>
      <c r="H155" s="5" t="n"/>
      <c r="I155" s="5" t="n"/>
    </row>
    <row r="156" ht="45" customHeight="1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</row>
    <row r="157" ht="45" customHeight="1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</row>
    <row r="159">
      <c r="A159" s="4" t="inlineStr">
        <is>
          <t>Top-score example</t>
        </is>
      </c>
      <c r="B159" s="5" t="n"/>
      <c r="C159" s="5" t="n"/>
      <c r="D159" s="5" t="n"/>
      <c r="E159" s="5" t="n"/>
      <c r="F159" s="5" t="n"/>
      <c r="G159" s="5" t="n"/>
      <c r="H159" s="5" t="n"/>
      <c r="I159" s="5" t="n"/>
    </row>
    <row r="160" ht="45" customHeight="1">
      <c r="A160" s="11" t="inlineStr">
        <is>
          <t>Top available score here: DeepSeek V4-Pro Max at 87.5 % EM. At that level, the model is solving multi-subject reasoning across science, law, medicine, and humanities.</t>
        </is>
      </c>
      <c r="B160" s="5" t="n"/>
      <c r="C160" s="5" t="n"/>
      <c r="D160" s="5" t="n"/>
      <c r="E160" s="5" t="n"/>
      <c r="F160" s="5" t="n"/>
      <c r="G160" s="5" t="n"/>
      <c r="H160" s="5" t="n"/>
      <c r="I160" s="5" t="n"/>
    </row>
    <row r="161" ht="45" customHeight="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</row>
    <row r="162" ht="45" customHeight="1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</row>
    <row r="164">
      <c r="A164" s="4" t="inlineStr">
        <is>
          <t>Similar tests and differences</t>
        </is>
      </c>
      <c r="B164" s="5" t="n"/>
      <c r="C164" s="5" t="n"/>
      <c r="D164" s="5" t="n"/>
      <c r="E164" s="5" t="n"/>
      <c r="F164" s="5" t="n"/>
      <c r="G164" s="5" t="n"/>
      <c r="H164" s="5" t="n"/>
      <c r="I164" s="5" t="n"/>
    </row>
    <row r="165" ht="45" customHeight="1">
      <c r="A165" s="11" t="inlineStr">
        <is>
          <t>Broader than GPQA, which focuses on expert science.</t>
        </is>
      </c>
      <c r="B165" s="5" t="n"/>
      <c r="C165" s="5" t="n"/>
      <c r="D165" s="5" t="n"/>
      <c r="E165" s="5" t="n"/>
      <c r="F165" s="5" t="n"/>
      <c r="G165" s="5" t="n"/>
      <c r="H165" s="5" t="n"/>
      <c r="I165" s="5" t="n"/>
    </row>
    <row r="166" ht="45" customHeight="1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</row>
    <row r="167" ht="45" customHeight="1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</row>
    <row r="171">
      <c r="A171" s="9" t="inlineStr">
        <is>
          <t>MMMLU | 2 - Multilingual knowledge</t>
        </is>
      </c>
    </row>
    <row r="172">
      <c r="A172" s="10" t="inlineStr">
        <is>
          <t>Model</t>
        </is>
      </c>
      <c r="B172" s="10" t="inlineStr">
        <is>
          <t>Score</t>
        </is>
      </c>
      <c r="C172" s="10" t="inlineStr">
        <is>
          <t>Unit</t>
        </is>
      </c>
      <c r="D172" s="10" t="inlineStr">
        <is>
          <t>Source</t>
        </is>
      </c>
    </row>
    <row r="173">
      <c r="A173" t="inlineStr">
        <is>
          <t>No comparable public score in the current source set.</t>
        </is>
      </c>
    </row>
    <row r="179">
      <c r="A179" s="4" t="inlineStr">
        <is>
          <t>What is</t>
        </is>
      </c>
      <c r="B179" s="5" t="n"/>
      <c r="C179" s="5" t="n"/>
      <c r="D179" s="5" t="n"/>
      <c r="E179" s="5" t="n"/>
      <c r="F179" s="5" t="n"/>
      <c r="G179" s="5" t="n"/>
      <c r="H179" s="5" t="n"/>
      <c r="I179" s="5" t="n"/>
    </row>
    <row r="180" ht="45" customHeight="1">
      <c r="A180" s="11" t="inlineStr">
        <is>
          <t>A multilingual MMLU-style benchmark for knowledge across languages.</t>
        </is>
      </c>
      <c r="B180" s="5" t="n"/>
      <c r="C180" s="5" t="n"/>
      <c r="D180" s="5" t="n"/>
      <c r="E180" s="5" t="n"/>
      <c r="F180" s="5" t="n"/>
      <c r="G180" s="5" t="n"/>
      <c r="H180" s="5" t="n"/>
      <c r="I180" s="5" t="n"/>
    </row>
    <row r="181" ht="45" customHeight="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</row>
    <row r="182" ht="45" customHeight="1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</row>
    <row r="184">
      <c r="A184" s="4" t="inlineStr">
        <is>
          <t>Explain for 11</t>
        </is>
      </c>
      <c r="B184" s="5" t="n"/>
      <c r="C184" s="5" t="n"/>
      <c r="D184" s="5" t="n"/>
      <c r="E184" s="5" t="n"/>
      <c r="F184" s="5" t="n"/>
      <c r="G184" s="5" t="n"/>
      <c r="H184" s="5" t="n"/>
      <c r="I184" s="5" t="n"/>
    </row>
    <row r="185" ht="45" customHeight="1">
      <c r="A185" s="11" t="inlineStr">
        <is>
          <t>The same big school quiz idea, but not only in English.</t>
        </is>
      </c>
      <c r="B185" s="5" t="n"/>
      <c r="C185" s="5" t="n"/>
      <c r="D185" s="5" t="n"/>
      <c r="E185" s="5" t="n"/>
      <c r="F185" s="5" t="n"/>
      <c r="G185" s="5" t="n"/>
      <c r="H185" s="5" t="n"/>
      <c r="I185" s="5" t="n"/>
    </row>
    <row r="186" ht="45" customHeight="1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</row>
    <row r="187" ht="45" customHeight="1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</row>
    <row r="189">
      <c r="A189" s="4" t="inlineStr">
        <is>
          <t>Top-score example</t>
        </is>
      </c>
      <c r="B189" s="5" t="n"/>
      <c r="C189" s="5" t="n"/>
      <c r="D189" s="5" t="n"/>
      <c r="E189" s="5" t="n"/>
      <c r="F189" s="5" t="n"/>
      <c r="G189" s="5" t="n"/>
      <c r="H189" s="5" t="n"/>
      <c r="I189" s="5" t="n"/>
    </row>
    <row r="190" ht="45" customHeight="1">
      <c r="A190" s="11" t="inlineStr">
        <is>
          <t>No comparable public score is recorded in this workbook yet. The guide entry is included so you can track it when a model card or leaderboard publishes scores.</t>
        </is>
      </c>
      <c r="B190" s="5" t="n"/>
      <c r="C190" s="5" t="n"/>
      <c r="D190" s="5" t="n"/>
      <c r="E190" s="5" t="n"/>
      <c r="F190" s="5" t="n"/>
      <c r="G190" s="5" t="n"/>
      <c r="H190" s="5" t="n"/>
      <c r="I190" s="5" t="n"/>
    </row>
    <row r="191" ht="45" customHeight="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</row>
    <row r="192" ht="45" customHeight="1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</row>
    <row r="194">
      <c r="A194" s="4" t="inlineStr">
        <is>
          <t>Similar tests and differences</t>
        </is>
      </c>
      <c r="B194" s="5" t="n"/>
      <c r="C194" s="5" t="n"/>
      <c r="D194" s="5" t="n"/>
      <c r="E194" s="5" t="n"/>
      <c r="F194" s="5" t="n"/>
      <c r="G194" s="5" t="n"/>
      <c r="H194" s="5" t="n"/>
      <c r="I194" s="5" t="n"/>
    </row>
    <row r="195" ht="45" customHeight="1">
      <c r="A195" s="11" t="inlineStr">
        <is>
          <t>Related to GMMLU and MILU; these compare language coverage more than coding power.</t>
        </is>
      </c>
      <c r="B195" s="5" t="n"/>
      <c r="C195" s="5" t="n"/>
      <c r="D195" s="5" t="n"/>
      <c r="E195" s="5" t="n"/>
      <c r="F195" s="5" t="n"/>
      <c r="G195" s="5" t="n"/>
      <c r="H195" s="5" t="n"/>
      <c r="I195" s="5" t="n"/>
    </row>
    <row r="196" ht="45" customHeight="1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</row>
    <row r="197" ht="45" customHeight="1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</row>
    <row r="201">
      <c r="A201" s="9" t="inlineStr">
        <is>
          <t>GMMLU English | 2 - Multilingual knowledge</t>
        </is>
      </c>
    </row>
    <row r="202">
      <c r="A202" s="10" t="inlineStr">
        <is>
          <t>Model</t>
        </is>
      </c>
      <c r="B202" s="10" t="inlineStr">
        <is>
          <t>Score</t>
        </is>
      </c>
      <c r="C202" s="10" t="inlineStr">
        <is>
          <t>Unit</t>
        </is>
      </c>
      <c r="D202" s="10" t="inlineStr">
        <is>
          <t>Source</t>
        </is>
      </c>
    </row>
    <row r="203">
      <c r="A203" t="inlineStr">
        <is>
          <t>No comparable public score in the current source set.</t>
        </is>
      </c>
    </row>
    <row r="209">
      <c r="A209" s="4" t="inlineStr">
        <is>
          <t>What is</t>
        </is>
      </c>
      <c r="B209" s="5" t="n"/>
      <c r="C209" s="5" t="n"/>
      <c r="D209" s="5" t="n"/>
      <c r="E209" s="5" t="n"/>
      <c r="F209" s="5" t="n"/>
      <c r="G209" s="5" t="n"/>
      <c r="H209" s="5" t="n"/>
      <c r="I209" s="5" t="n"/>
    </row>
    <row r="210" ht="45" customHeight="1">
      <c r="A210" s="11" t="inlineStr">
        <is>
          <t>The English slice of a global MMLU-style benchmark.</t>
        </is>
      </c>
      <c r="B210" s="5" t="n"/>
      <c r="C210" s="5" t="n"/>
      <c r="D210" s="5" t="n"/>
      <c r="E210" s="5" t="n"/>
      <c r="F210" s="5" t="n"/>
      <c r="G210" s="5" t="n"/>
      <c r="H210" s="5" t="n"/>
      <c r="I210" s="5" t="n"/>
    </row>
    <row r="211" ht="45" customHeight="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</row>
    <row r="212" ht="45" customHeight="1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</row>
    <row r="214">
      <c r="A214" s="4" t="inlineStr">
        <is>
          <t>Explain for 11</t>
        </is>
      </c>
      <c r="B214" s="5" t="n"/>
      <c r="C214" s="5" t="n"/>
      <c r="D214" s="5" t="n"/>
      <c r="E214" s="5" t="n"/>
      <c r="F214" s="5" t="n"/>
      <c r="G214" s="5" t="n"/>
      <c r="H214" s="5" t="n"/>
      <c r="I214" s="5" t="n"/>
    </row>
    <row r="215" ht="45" customHeight="1">
      <c r="A215" s="11" t="inlineStr">
        <is>
          <t>The English version of a world knowledge quiz.</t>
        </is>
      </c>
      <c r="B215" s="5" t="n"/>
      <c r="C215" s="5" t="n"/>
      <c r="D215" s="5" t="n"/>
      <c r="E215" s="5" t="n"/>
      <c r="F215" s="5" t="n"/>
      <c r="G215" s="5" t="n"/>
      <c r="H215" s="5" t="n"/>
      <c r="I215" s="5" t="n"/>
    </row>
    <row r="216" ht="45" customHeight="1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</row>
    <row r="217" ht="45" customHeight="1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</row>
    <row r="219">
      <c r="A219" s="4" t="inlineStr">
        <is>
          <t>Top-score example</t>
        </is>
      </c>
      <c r="B219" s="5" t="n"/>
      <c r="C219" s="5" t="n"/>
      <c r="D219" s="5" t="n"/>
      <c r="E219" s="5" t="n"/>
      <c r="F219" s="5" t="n"/>
      <c r="G219" s="5" t="n"/>
      <c r="H219" s="5" t="n"/>
      <c r="I219" s="5" t="n"/>
    </row>
    <row r="220" ht="45" customHeight="1">
      <c r="A220" s="11" t="inlineStr">
        <is>
          <t>No comparable public score is recorded in this workbook yet. The guide entry is included so you can track it when a model card or leaderboard publishes scores.</t>
        </is>
      </c>
      <c r="B220" s="5" t="n"/>
      <c r="C220" s="5" t="n"/>
      <c r="D220" s="5" t="n"/>
      <c r="E220" s="5" t="n"/>
      <c r="F220" s="5" t="n"/>
      <c r="G220" s="5" t="n"/>
      <c r="H220" s="5" t="n"/>
      <c r="I220" s="5" t="n"/>
    </row>
    <row r="221" ht="45" customHeight="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</row>
    <row r="222" ht="45" customHeight="1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</row>
    <row r="224">
      <c r="A224" s="4" t="inlineStr">
        <is>
          <t>Similar tests and differences</t>
        </is>
      </c>
      <c r="B224" s="5" t="n"/>
      <c r="C224" s="5" t="n"/>
      <c r="D224" s="5" t="n"/>
      <c r="E224" s="5" t="n"/>
      <c r="F224" s="5" t="n"/>
      <c r="G224" s="5" t="n"/>
      <c r="H224" s="5" t="n"/>
      <c r="I224" s="5" t="n"/>
    </row>
    <row r="225" ht="45" customHeight="1">
      <c r="A225" s="11" t="inlineStr">
        <is>
          <t>Use beside low-resource averages to see whether a model is only strong in major languages.</t>
        </is>
      </c>
      <c r="B225" s="5" t="n"/>
      <c r="C225" s="5" t="n"/>
      <c r="D225" s="5" t="n"/>
      <c r="E225" s="5" t="n"/>
      <c r="F225" s="5" t="n"/>
      <c r="G225" s="5" t="n"/>
      <c r="H225" s="5" t="n"/>
      <c r="I225" s="5" t="n"/>
    </row>
    <row r="226" ht="45" customHeight="1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</row>
    <row r="227" ht="45" customHeight="1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</row>
    <row r="231">
      <c r="A231" s="9" t="inlineStr">
        <is>
          <t>GMMLU low-resource average | 2 - Multilingual knowledge</t>
        </is>
      </c>
    </row>
    <row r="232">
      <c r="A232" s="10" t="inlineStr">
        <is>
          <t>Model</t>
        </is>
      </c>
      <c r="B232" s="10" t="inlineStr">
        <is>
          <t>Score</t>
        </is>
      </c>
      <c r="C232" s="10" t="inlineStr">
        <is>
          <t>Unit</t>
        </is>
      </c>
      <c r="D232" s="10" t="inlineStr">
        <is>
          <t>Source</t>
        </is>
      </c>
    </row>
    <row r="233">
      <c r="A233" t="inlineStr">
        <is>
          <t>No comparable public score in the current source set.</t>
        </is>
      </c>
    </row>
    <row r="239">
      <c r="A239" s="4" t="inlineStr">
        <is>
          <t>What is</t>
        </is>
      </c>
      <c r="B239" s="5" t="n"/>
      <c r="C239" s="5" t="n"/>
      <c r="D239" s="5" t="n"/>
      <c r="E239" s="5" t="n"/>
      <c r="F239" s="5" t="n"/>
      <c r="G239" s="5" t="n"/>
      <c r="H239" s="5" t="n"/>
      <c r="I239" s="5" t="n"/>
    </row>
    <row r="240" ht="45" customHeight="1">
      <c r="A240" s="11" t="inlineStr">
        <is>
          <t>Average performance across lower-resource languages.</t>
        </is>
      </c>
      <c r="B240" s="5" t="n"/>
      <c r="C240" s="5" t="n"/>
      <c r="D240" s="5" t="n"/>
      <c r="E240" s="5" t="n"/>
      <c r="F240" s="5" t="n"/>
      <c r="G240" s="5" t="n"/>
      <c r="H240" s="5" t="n"/>
      <c r="I240" s="5" t="n"/>
    </row>
    <row r="241" ht="45" customHeight="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</row>
    <row r="242" ht="45" customHeight="1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</row>
    <row r="244">
      <c r="A244" s="4" t="inlineStr">
        <is>
          <t>Explain for 11</t>
        </is>
      </c>
      <c r="B244" s="5" t="n"/>
      <c r="C244" s="5" t="n"/>
      <c r="D244" s="5" t="n"/>
      <c r="E244" s="5" t="n"/>
      <c r="F244" s="5" t="n"/>
      <c r="G244" s="5" t="n"/>
      <c r="H244" s="5" t="n"/>
      <c r="I244" s="5" t="n"/>
    </row>
    <row r="245" ht="45" customHeight="1">
      <c r="A245" s="11" t="inlineStr">
        <is>
          <t>A test of whether the AI still helps in languages with less training data online.</t>
        </is>
      </c>
      <c r="B245" s="5" t="n"/>
      <c r="C245" s="5" t="n"/>
      <c r="D245" s="5" t="n"/>
      <c r="E245" s="5" t="n"/>
      <c r="F245" s="5" t="n"/>
      <c r="G245" s="5" t="n"/>
      <c r="H245" s="5" t="n"/>
      <c r="I245" s="5" t="n"/>
    </row>
    <row r="246" ht="45" customHeight="1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</row>
    <row r="247" ht="45" customHeight="1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</row>
    <row r="249">
      <c r="A249" s="4" t="inlineStr">
        <is>
          <t>Top-score example</t>
        </is>
      </c>
      <c r="B249" s="5" t="n"/>
      <c r="C249" s="5" t="n"/>
      <c r="D249" s="5" t="n"/>
      <c r="E249" s="5" t="n"/>
      <c r="F249" s="5" t="n"/>
      <c r="G249" s="5" t="n"/>
      <c r="H249" s="5" t="n"/>
      <c r="I249" s="5" t="n"/>
    </row>
    <row r="250" ht="45" customHeight="1">
      <c r="A250" s="11" t="inlineStr">
        <is>
          <t>No comparable public score is recorded in this workbook yet. The guide entry is included so you can track it when a model card or leaderboard publishes scores.</t>
        </is>
      </c>
      <c r="B250" s="5" t="n"/>
      <c r="C250" s="5" t="n"/>
      <c r="D250" s="5" t="n"/>
      <c r="E250" s="5" t="n"/>
      <c r="F250" s="5" t="n"/>
      <c r="G250" s="5" t="n"/>
      <c r="H250" s="5" t="n"/>
      <c r="I250" s="5" t="n"/>
    </row>
    <row r="251" ht="45" customHeight="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</row>
    <row r="252" ht="45" customHeight="1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</row>
    <row r="254">
      <c r="A254" s="4" t="inlineStr">
        <is>
          <t>Similar tests and differences</t>
        </is>
      </c>
      <c r="B254" s="5" t="n"/>
      <c r="C254" s="5" t="n"/>
      <c r="D254" s="5" t="n"/>
      <c r="E254" s="5" t="n"/>
      <c r="F254" s="5" t="n"/>
      <c r="G254" s="5" t="n"/>
      <c r="H254" s="5" t="n"/>
      <c r="I254" s="5" t="n"/>
    </row>
    <row r="255" ht="45" customHeight="1">
      <c r="A255" s="11" t="inlineStr">
        <is>
          <t>More about language fairness than raw reasoning difficulty.</t>
        </is>
      </c>
      <c r="B255" s="5" t="n"/>
      <c r="C255" s="5" t="n"/>
      <c r="D255" s="5" t="n"/>
      <c r="E255" s="5" t="n"/>
      <c r="F255" s="5" t="n"/>
      <c r="G255" s="5" t="n"/>
      <c r="H255" s="5" t="n"/>
      <c r="I255" s="5" t="n"/>
    </row>
    <row r="256" ht="45" customHeight="1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</row>
    <row r="257" ht="45" customHeight="1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</row>
    <row r="261">
      <c r="A261" s="9" t="inlineStr">
        <is>
          <t>MILU average | 2 - Multilingual knowledge</t>
        </is>
      </c>
    </row>
    <row r="262">
      <c r="A262" s="10" t="inlineStr">
        <is>
          <t>Model</t>
        </is>
      </c>
      <c r="B262" s="10" t="inlineStr">
        <is>
          <t>Score</t>
        </is>
      </c>
      <c r="C262" s="10" t="inlineStr">
        <is>
          <t>Unit</t>
        </is>
      </c>
      <c r="D262" s="10" t="inlineStr">
        <is>
          <t>Source</t>
        </is>
      </c>
    </row>
    <row r="263">
      <c r="A263" t="inlineStr">
        <is>
          <t>No comparable public score in the current source set.</t>
        </is>
      </c>
    </row>
    <row r="269">
      <c r="A269" s="4" t="inlineStr">
        <is>
          <t>What is</t>
        </is>
      </c>
      <c r="B269" s="5" t="n"/>
      <c r="C269" s="5" t="n"/>
      <c r="D269" s="5" t="n"/>
      <c r="E269" s="5" t="n"/>
      <c r="F269" s="5" t="n"/>
      <c r="G269" s="5" t="n"/>
      <c r="H269" s="5" t="n"/>
      <c r="I269" s="5" t="n"/>
    </row>
    <row r="270" ht="45" customHeight="1">
      <c r="A270" s="11" t="inlineStr">
        <is>
          <t>A multilingual language-understanding average.</t>
        </is>
      </c>
      <c r="B270" s="5" t="n"/>
      <c r="C270" s="5" t="n"/>
      <c r="D270" s="5" t="n"/>
      <c r="E270" s="5" t="n"/>
      <c r="F270" s="5" t="n"/>
      <c r="G270" s="5" t="n"/>
      <c r="H270" s="5" t="n"/>
      <c r="I270" s="5" t="n"/>
    </row>
    <row r="271" ht="45" customHeight="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</row>
    <row r="272" ht="45" customHeight="1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</row>
    <row r="274">
      <c r="A274" s="4" t="inlineStr">
        <is>
          <t>Explain for 11</t>
        </is>
      </c>
      <c r="B274" s="5" t="n"/>
      <c r="C274" s="5" t="n"/>
      <c r="D274" s="5" t="n"/>
      <c r="E274" s="5" t="n"/>
      <c r="F274" s="5" t="n"/>
      <c r="G274" s="5" t="n"/>
      <c r="H274" s="5" t="n"/>
      <c r="I274" s="5" t="n"/>
    </row>
    <row r="275" ht="45" customHeight="1">
      <c r="A275" s="11" t="inlineStr">
        <is>
          <t>Another world-language report card for general knowledge.</t>
        </is>
      </c>
      <c r="B275" s="5" t="n"/>
      <c r="C275" s="5" t="n"/>
      <c r="D275" s="5" t="n"/>
      <c r="E275" s="5" t="n"/>
      <c r="F275" s="5" t="n"/>
      <c r="G275" s="5" t="n"/>
      <c r="H275" s="5" t="n"/>
      <c r="I275" s="5" t="n"/>
    </row>
    <row r="276" ht="45" customHeight="1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</row>
    <row r="277" ht="45" customHeight="1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</row>
    <row r="279">
      <c r="A279" s="4" t="inlineStr">
        <is>
          <t>Top-score example</t>
        </is>
      </c>
      <c r="B279" s="5" t="n"/>
      <c r="C279" s="5" t="n"/>
      <c r="D279" s="5" t="n"/>
      <c r="E279" s="5" t="n"/>
      <c r="F279" s="5" t="n"/>
      <c r="G279" s="5" t="n"/>
      <c r="H279" s="5" t="n"/>
      <c r="I279" s="5" t="n"/>
    </row>
    <row r="280" ht="45" customHeight="1">
      <c r="A280" s="11" t="inlineStr">
        <is>
          <t>No comparable public score is recorded in this workbook yet. The guide entry is included so you can track it when a model card or leaderboard publishes scores.</t>
        </is>
      </c>
      <c r="B280" s="5" t="n"/>
      <c r="C280" s="5" t="n"/>
      <c r="D280" s="5" t="n"/>
      <c r="E280" s="5" t="n"/>
      <c r="F280" s="5" t="n"/>
      <c r="G280" s="5" t="n"/>
      <c r="H280" s="5" t="n"/>
      <c r="I280" s="5" t="n"/>
    </row>
    <row r="281" ht="45" customHeight="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</row>
    <row r="282" ht="45" customHeight="1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</row>
    <row r="284">
      <c r="A284" s="4" t="inlineStr">
        <is>
          <t>Similar tests and differences</t>
        </is>
      </c>
      <c r="B284" s="5" t="n"/>
      <c r="C284" s="5" t="n"/>
      <c r="D284" s="5" t="n"/>
      <c r="E284" s="5" t="n"/>
      <c r="F284" s="5" t="n"/>
      <c r="G284" s="5" t="n"/>
      <c r="H284" s="5" t="n"/>
      <c r="I284" s="5" t="n"/>
    </row>
    <row r="285" ht="45" customHeight="1">
      <c r="A285" s="11" t="inlineStr">
        <is>
          <t>Similar to GMMLU; compare exact datasets before ranking models.</t>
        </is>
      </c>
      <c r="B285" s="5" t="n"/>
      <c r="C285" s="5" t="n"/>
      <c r="D285" s="5" t="n"/>
      <c r="E285" s="5" t="n"/>
      <c r="F285" s="5" t="n"/>
      <c r="G285" s="5" t="n"/>
      <c r="H285" s="5" t="n"/>
      <c r="I285" s="5" t="n"/>
    </row>
    <row r="286" ht="45" customHeight="1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</row>
    <row r="287" ht="45" customHeight="1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</row>
    <row r="291">
      <c r="A291" s="9" t="inlineStr">
        <is>
          <t>LiveCodeBench v6 | 2 - Current coding</t>
        </is>
      </c>
    </row>
    <row r="292">
      <c r="A292" s="10" t="inlineStr">
        <is>
          <t>Model</t>
        </is>
      </c>
      <c r="B292" s="10" t="inlineStr">
        <is>
          <t>Score</t>
        </is>
      </c>
      <c r="C292" s="10" t="inlineStr">
        <is>
          <t>Unit</t>
        </is>
      </c>
      <c r="D292" s="10" t="inlineStr">
        <is>
          <t>Source</t>
        </is>
      </c>
    </row>
    <row r="293">
      <c r="A293" t="inlineStr">
        <is>
          <t>Kimi K2.6</t>
        </is>
      </c>
      <c r="B293" t="n">
        <v>89.59999999999999</v>
      </c>
      <c r="C293" t="inlineStr">
        <is>
          <t>% pass</t>
        </is>
      </c>
      <c r="D293" t="inlineStr">
        <is>
          <t>Moonshot AI - Kimi K2.6 Hugging Face model card</t>
        </is>
      </c>
    </row>
    <row r="294">
      <c r="A294" t="inlineStr">
        <is>
          <t>DeepSeek V4-Pro Max</t>
        </is>
      </c>
      <c r="B294" t="n">
        <v>93.5</v>
      </c>
      <c r="C294" t="inlineStr">
        <is>
          <t>% pass</t>
        </is>
      </c>
      <c r="D294" t="inlineStr">
        <is>
          <t>DeepSeek - DeepSeek-V4-Pro Hugging Face model card</t>
        </is>
      </c>
    </row>
    <row r="303">
      <c r="A303" s="4" t="inlineStr">
        <is>
          <t>What is</t>
        </is>
      </c>
      <c r="B303" s="5" t="n"/>
      <c r="C303" s="5" t="n"/>
      <c r="D303" s="5" t="n"/>
      <c r="E303" s="5" t="n"/>
      <c r="F303" s="5" t="n"/>
      <c r="G303" s="5" t="n"/>
      <c r="H303" s="5" t="n"/>
      <c r="I303" s="5" t="n"/>
    </row>
    <row r="304" ht="45" customHeight="1">
      <c r="A304" s="11" t="inlineStr">
        <is>
          <t>Fresh programming contest-style tasks designed to reduce memorization.</t>
        </is>
      </c>
      <c r="B304" s="5" t="n"/>
      <c r="C304" s="5" t="n"/>
      <c r="D304" s="5" t="n"/>
      <c r="E304" s="5" t="n"/>
      <c r="F304" s="5" t="n"/>
      <c r="G304" s="5" t="n"/>
      <c r="H304" s="5" t="n"/>
      <c r="I304" s="5" t="n"/>
    </row>
    <row r="305" ht="45" customHeight="1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</row>
    <row r="306" ht="45" customHeight="1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</row>
    <row r="308">
      <c r="A308" s="4" t="inlineStr">
        <is>
          <t>Explain for 11</t>
        </is>
      </c>
      <c r="B308" s="5" t="n"/>
      <c r="C308" s="5" t="n"/>
      <c r="D308" s="5" t="n"/>
      <c r="E308" s="5" t="n"/>
      <c r="F308" s="5" t="n"/>
      <c r="G308" s="5" t="n"/>
      <c r="H308" s="5" t="n"/>
      <c r="I308" s="5" t="n"/>
    </row>
    <row r="309" ht="45" customHeight="1">
      <c r="A309" s="11" t="inlineStr">
        <is>
          <t>A newer coding contest where the model cannot just remember old answers.</t>
        </is>
      </c>
      <c r="B309" s="5" t="n"/>
      <c r="C309" s="5" t="n"/>
      <c r="D309" s="5" t="n"/>
      <c r="E309" s="5" t="n"/>
      <c r="F309" s="5" t="n"/>
      <c r="G309" s="5" t="n"/>
      <c r="H309" s="5" t="n"/>
      <c r="I309" s="5" t="n"/>
    </row>
    <row r="310" ht="45" customHeight="1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</row>
    <row r="311" ht="45" customHeight="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</row>
    <row r="313">
      <c r="A313" s="4" t="inlineStr">
        <is>
          <t>Top-score example</t>
        </is>
      </c>
      <c r="B313" s="5" t="n"/>
      <c r="C313" s="5" t="n"/>
      <c r="D313" s="5" t="n"/>
      <c r="E313" s="5" t="n"/>
      <c r="F313" s="5" t="n"/>
      <c r="G313" s="5" t="n"/>
      <c r="H313" s="5" t="n"/>
      <c r="I313" s="5" t="n"/>
    </row>
    <row r="314" ht="45" customHeight="1">
      <c r="A314" s="11" t="inlineStr">
        <is>
          <t>Top available score here: DeepSeek V4-Pro Max at 93.5 % pass. At that level, the model is solving algorithmic coding problems with hidden tests.</t>
        </is>
      </c>
      <c r="B314" s="5" t="n"/>
      <c r="C314" s="5" t="n"/>
      <c r="D314" s="5" t="n"/>
      <c r="E314" s="5" t="n"/>
      <c r="F314" s="5" t="n"/>
      <c r="G314" s="5" t="n"/>
      <c r="H314" s="5" t="n"/>
      <c r="I314" s="5" t="n"/>
    </row>
    <row r="315" ht="45" customHeight="1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</row>
    <row r="316" ht="45" customHeight="1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</row>
    <row r="318">
      <c r="A318" s="4" t="inlineStr">
        <is>
          <t>Similar tests and differences</t>
        </is>
      </c>
      <c r="B318" s="5" t="n"/>
      <c r="C318" s="5" t="n"/>
      <c r="D318" s="5" t="n"/>
      <c r="E318" s="5" t="n"/>
      <c r="F318" s="5" t="n"/>
      <c r="G318" s="5" t="n"/>
      <c r="H318" s="5" t="n"/>
      <c r="I318" s="5" t="n"/>
    </row>
    <row r="319" ht="45" customHeight="1">
      <c r="A319" s="11" t="inlineStr">
        <is>
          <t>More current than HumanEval; not as project-like as SWE-Bench.</t>
        </is>
      </c>
      <c r="B319" s="5" t="n"/>
      <c r="C319" s="5" t="n"/>
      <c r="D319" s="5" t="n"/>
      <c r="E319" s="5" t="n"/>
      <c r="F319" s="5" t="n"/>
      <c r="G319" s="5" t="n"/>
      <c r="H319" s="5" t="n"/>
      <c r="I319" s="5" t="n"/>
    </row>
    <row r="320" ht="45" customHeight="1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</row>
    <row r="321" ht="45" customHeight="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</row>
    <row r="325">
      <c r="A325" s="9" t="inlineStr">
        <is>
          <t>OJBench Python | 2 - Current coding</t>
        </is>
      </c>
    </row>
    <row r="326">
      <c r="A326" s="10" t="inlineStr">
        <is>
          <t>Model</t>
        </is>
      </c>
      <c r="B326" s="10" t="inlineStr">
        <is>
          <t>Score</t>
        </is>
      </c>
      <c r="C326" s="10" t="inlineStr">
        <is>
          <t>Unit</t>
        </is>
      </c>
      <c r="D326" s="10" t="inlineStr">
        <is>
          <t>Source</t>
        </is>
      </c>
    </row>
    <row r="327">
      <c r="A327" t="inlineStr">
        <is>
          <t>Kimi K2.6</t>
        </is>
      </c>
      <c r="B327" t="n">
        <v>60.6</v>
      </c>
      <c r="C327" t="inlineStr">
        <is>
          <t>% pass</t>
        </is>
      </c>
      <c r="D327" t="inlineStr">
        <is>
          <t>Moonshot AI - Kimi K2.6 Hugging Face model card</t>
        </is>
      </c>
    </row>
    <row r="337">
      <c r="A337" s="4" t="inlineStr">
        <is>
          <t>What is</t>
        </is>
      </c>
      <c r="B337" s="5" t="n"/>
      <c r="C337" s="5" t="n"/>
      <c r="D337" s="5" t="n"/>
      <c r="E337" s="5" t="n"/>
      <c r="F337" s="5" t="n"/>
      <c r="G337" s="5" t="n"/>
      <c r="H337" s="5" t="n"/>
      <c r="I337" s="5" t="n"/>
    </row>
    <row r="338" ht="45" customHeight="1">
      <c r="A338" s="11" t="inlineStr">
        <is>
          <t>Online-judge Python programming tasks.</t>
        </is>
      </c>
      <c r="B338" s="5" t="n"/>
      <c r="C338" s="5" t="n"/>
      <c r="D338" s="5" t="n"/>
      <c r="E338" s="5" t="n"/>
      <c r="F338" s="5" t="n"/>
      <c r="G338" s="5" t="n"/>
      <c r="H338" s="5" t="n"/>
      <c r="I338" s="5" t="n"/>
    </row>
    <row r="339" ht="45" customHeight="1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</row>
    <row r="340" ht="45" customHeight="1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</row>
    <row r="342">
      <c r="A342" s="4" t="inlineStr">
        <is>
          <t>Explain for 11</t>
        </is>
      </c>
      <c r="B342" s="5" t="n"/>
      <c r="C342" s="5" t="n"/>
      <c r="D342" s="5" t="n"/>
      <c r="E342" s="5" t="n"/>
      <c r="F342" s="5" t="n"/>
      <c r="G342" s="5" t="n"/>
      <c r="H342" s="5" t="n"/>
      <c r="I342" s="5" t="n"/>
    </row>
    <row r="343" ht="45" customHeight="1">
      <c r="A343" s="11" t="inlineStr">
        <is>
          <t>Coding contest puzzles where the answer must pass lots of hidden cases.</t>
        </is>
      </c>
      <c r="B343" s="5" t="n"/>
      <c r="C343" s="5" t="n"/>
      <c r="D343" s="5" t="n"/>
      <c r="E343" s="5" t="n"/>
      <c r="F343" s="5" t="n"/>
      <c r="G343" s="5" t="n"/>
      <c r="H343" s="5" t="n"/>
      <c r="I343" s="5" t="n"/>
    </row>
    <row r="344" ht="45" customHeight="1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</row>
    <row r="345" ht="45" customHeight="1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</row>
    <row r="347">
      <c r="A347" s="4" t="inlineStr">
        <is>
          <t>Top-score example</t>
        </is>
      </c>
      <c r="B347" s="5" t="n"/>
      <c r="C347" s="5" t="n"/>
      <c r="D347" s="5" t="n"/>
      <c r="E347" s="5" t="n"/>
      <c r="F347" s="5" t="n"/>
      <c r="G347" s="5" t="n"/>
      <c r="H347" s="5" t="n"/>
      <c r="I347" s="5" t="n"/>
    </row>
    <row r="348" ht="45" customHeight="1">
      <c r="A348" s="11" t="inlineStr">
        <is>
          <t>Top available score here: Kimi K2.6 at 60.6 % pass. At that level, the model is solving Python algorithm puzzles with strict pass/fail tests.</t>
        </is>
      </c>
      <c r="B348" s="5" t="n"/>
      <c r="C348" s="5" t="n"/>
      <c r="D348" s="5" t="n"/>
      <c r="E348" s="5" t="n"/>
      <c r="F348" s="5" t="n"/>
      <c r="G348" s="5" t="n"/>
      <c r="H348" s="5" t="n"/>
      <c r="I348" s="5" t="n"/>
    </row>
    <row r="349" ht="45" customHeight="1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</row>
    <row r="350" ht="45" customHeight="1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</row>
    <row r="352">
      <c r="A352" s="4" t="inlineStr">
        <is>
          <t>Similar tests and differences</t>
        </is>
      </c>
      <c r="B352" s="5" t="n"/>
      <c r="C352" s="5" t="n"/>
      <c r="D352" s="5" t="n"/>
      <c r="E352" s="5" t="n"/>
      <c r="F352" s="5" t="n"/>
      <c r="G352" s="5" t="n"/>
      <c r="H352" s="5" t="n"/>
      <c r="I352" s="5" t="n"/>
    </row>
    <row r="353" ht="45" customHeight="1">
      <c r="A353" s="11" t="inlineStr">
        <is>
          <t>Close to LiveCodeBench, but focused on online-judge style Python.</t>
        </is>
      </c>
      <c r="B353" s="5" t="n"/>
      <c r="C353" s="5" t="n"/>
      <c r="D353" s="5" t="n"/>
      <c r="E353" s="5" t="n"/>
      <c r="F353" s="5" t="n"/>
      <c r="G353" s="5" t="n"/>
      <c r="H353" s="5" t="n"/>
      <c r="I353" s="5" t="n"/>
    </row>
    <row r="354" ht="45" customHeight="1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</row>
    <row r="355" ht="45" customHeight="1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</row>
    <row r="359">
      <c r="A359" s="9" t="inlineStr">
        <is>
          <t>SciCode | 3 - Scientific coding</t>
        </is>
      </c>
    </row>
    <row r="360">
      <c r="A360" s="10" t="inlineStr">
        <is>
          <t>Model</t>
        </is>
      </c>
      <c r="B360" s="10" t="inlineStr">
        <is>
          <t>Score</t>
        </is>
      </c>
      <c r="C360" s="10" t="inlineStr">
        <is>
          <t>Unit</t>
        </is>
      </c>
      <c r="D360" s="10" t="inlineStr">
        <is>
          <t>Source</t>
        </is>
      </c>
    </row>
    <row r="361">
      <c r="A361" t="inlineStr">
        <is>
          <t>Kimi K2.6</t>
        </is>
      </c>
      <c r="B361" t="n">
        <v>52.2</v>
      </c>
      <c r="C361" t="inlineStr">
        <is>
          <t>% score</t>
        </is>
      </c>
      <c r="D361" t="inlineStr">
        <is>
          <t>Moonshot AI - Kimi K2.6 Hugging Face model card</t>
        </is>
      </c>
    </row>
    <row r="371">
      <c r="A371" s="4" t="inlineStr">
        <is>
          <t>What is</t>
        </is>
      </c>
      <c r="B371" s="5" t="n"/>
      <c r="C371" s="5" t="n"/>
      <c r="D371" s="5" t="n"/>
      <c r="E371" s="5" t="n"/>
      <c r="F371" s="5" t="n"/>
      <c r="G371" s="5" t="n"/>
      <c r="H371" s="5" t="n"/>
      <c r="I371" s="5" t="n"/>
    </row>
    <row r="372" ht="45" customHeight="1">
      <c r="A372" s="11" t="inlineStr">
        <is>
          <t>Scientific programming tasks that need domain formulas and code.</t>
        </is>
      </c>
      <c r="B372" s="5" t="n"/>
      <c r="C372" s="5" t="n"/>
      <c r="D372" s="5" t="n"/>
      <c r="E372" s="5" t="n"/>
      <c r="F372" s="5" t="n"/>
      <c r="G372" s="5" t="n"/>
      <c r="H372" s="5" t="n"/>
      <c r="I372" s="5" t="n"/>
    </row>
    <row r="373" ht="45" customHeight="1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</row>
    <row r="374" ht="45" customHeight="1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</row>
    <row r="376">
      <c r="A376" s="4" t="inlineStr">
        <is>
          <t>Explain for 11</t>
        </is>
      </c>
      <c r="B376" s="5" t="n"/>
      <c r="C376" s="5" t="n"/>
      <c r="D376" s="5" t="n"/>
      <c r="E376" s="5" t="n"/>
      <c r="F376" s="5" t="n"/>
      <c r="G376" s="5" t="n"/>
      <c r="H376" s="5" t="n"/>
      <c r="I376" s="5" t="n"/>
    </row>
    <row r="377" ht="45" customHeight="1">
      <c r="A377" s="11" t="inlineStr">
        <is>
          <t>Write code for science-style problems, not just toy puzzles.</t>
        </is>
      </c>
      <c r="B377" s="5" t="n"/>
      <c r="C377" s="5" t="n"/>
      <c r="D377" s="5" t="n"/>
      <c r="E377" s="5" t="n"/>
      <c r="F377" s="5" t="n"/>
      <c r="G377" s="5" t="n"/>
      <c r="H377" s="5" t="n"/>
      <c r="I377" s="5" t="n"/>
    </row>
    <row r="378" ht="45" customHeight="1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</row>
    <row r="379" ht="45" customHeight="1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</row>
    <row r="381">
      <c r="A381" s="4" t="inlineStr">
        <is>
          <t>Top-score example</t>
        </is>
      </c>
      <c r="B381" s="5" t="n"/>
      <c r="C381" s="5" t="n"/>
      <c r="D381" s="5" t="n"/>
      <c r="E381" s="5" t="n"/>
      <c r="F381" s="5" t="n"/>
      <c r="G381" s="5" t="n"/>
      <c r="H381" s="5" t="n"/>
      <c r="I381" s="5" t="n"/>
    </row>
    <row r="382" ht="45" customHeight="1">
      <c r="A382" s="11" t="inlineStr">
        <is>
          <t>Top available score here: Kimi K2.6 at 52.2 % score. At that level, the model is solving math/science code that uses formulas, arrays, or simulation logic.</t>
        </is>
      </c>
      <c r="B382" s="5" t="n"/>
      <c r="C382" s="5" t="n"/>
      <c r="D382" s="5" t="n"/>
      <c r="E382" s="5" t="n"/>
      <c r="F382" s="5" t="n"/>
      <c r="G382" s="5" t="n"/>
      <c r="H382" s="5" t="n"/>
      <c r="I382" s="5" t="n"/>
    </row>
    <row r="383" ht="45" customHeight="1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</row>
    <row r="384" ht="45" customHeight="1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</row>
    <row r="386">
      <c r="A386" s="4" t="inlineStr">
        <is>
          <t>Similar tests and differences</t>
        </is>
      </c>
      <c r="B386" s="5" t="n"/>
      <c r="C386" s="5" t="n"/>
      <c r="D386" s="5" t="n"/>
      <c r="E386" s="5" t="n"/>
      <c r="F386" s="5" t="n"/>
      <c r="G386" s="5" t="n"/>
      <c r="H386" s="5" t="n"/>
      <c r="I386" s="5" t="n"/>
    </row>
    <row r="387" ht="45" customHeight="1">
      <c r="A387" s="11" t="inlineStr">
        <is>
          <t>More science-flavored than HumanEval or OJBench.</t>
        </is>
      </c>
      <c r="B387" s="5" t="n"/>
      <c r="C387" s="5" t="n"/>
      <c r="D387" s="5" t="n"/>
      <c r="E387" s="5" t="n"/>
      <c r="F387" s="5" t="n"/>
      <c r="G387" s="5" t="n"/>
      <c r="H387" s="5" t="n"/>
      <c r="I387" s="5" t="n"/>
    </row>
    <row r="388" ht="45" customHeight="1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</row>
    <row r="389" ht="45" customHeight="1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</row>
    <row r="393">
      <c r="A393" s="9" t="inlineStr">
        <is>
          <t>Terminal-Bench 2.0 | 3 - Real computer work</t>
        </is>
      </c>
    </row>
    <row r="394">
      <c r="A394" s="10" t="inlineStr">
        <is>
          <t>Model</t>
        </is>
      </c>
      <c r="B394" s="10" t="inlineStr">
        <is>
          <t>Score</t>
        </is>
      </c>
      <c r="C394" s="10" t="inlineStr">
        <is>
          <t>Unit</t>
        </is>
      </c>
      <c r="D394" s="10" t="inlineStr">
        <is>
          <t>Source</t>
        </is>
      </c>
    </row>
    <row r="395">
      <c r="A395" t="inlineStr">
        <is>
          <t>ChatGPT 5.5</t>
        </is>
      </c>
      <c r="B395" t="n">
        <v>82.7</v>
      </c>
      <c r="C395" t="inlineStr">
        <is>
          <t>% accuracy</t>
        </is>
      </c>
      <c r="D395" t="inlineStr">
        <is>
          <t>OpenAI - Introducing GPT-5.5</t>
        </is>
      </c>
    </row>
    <row r="396">
      <c r="A396" t="inlineStr">
        <is>
          <t>ChatGPT 5.3 Codex</t>
        </is>
      </c>
      <c r="B396" t="n">
        <v>77.3</v>
      </c>
      <c r="C396" t="inlineStr">
        <is>
          <t>% accuracy</t>
        </is>
      </c>
      <c r="D396" t="inlineStr">
        <is>
          <t>OpenAI - Introducing GPT-5.3-Codex</t>
        </is>
      </c>
    </row>
    <row r="397">
      <c r="A397" t="inlineStr">
        <is>
          <t>Claude Opus 4.7</t>
        </is>
      </c>
      <c r="B397" t="n">
        <v>69.40000000000001</v>
      </c>
      <c r="C397" t="inlineStr">
        <is>
          <t>% accuracy</t>
        </is>
      </c>
      <c r="D397" t="inlineStr">
        <is>
          <t>OpenAI - Introducing GPT-5.5</t>
        </is>
      </c>
    </row>
    <row r="398">
      <c r="A398" t="inlineStr">
        <is>
          <t>Claude Sonnet 4.6</t>
        </is>
      </c>
      <c r="B398" t="n">
        <v>59.1</v>
      </c>
      <c r="C398" t="inlineStr">
        <is>
          <t>% accuracy</t>
        </is>
      </c>
      <c r="D398" t="inlineStr">
        <is>
          <t>Anthropic - Introducing Claude Sonnet 4.6 and system card</t>
        </is>
      </c>
    </row>
    <row r="399">
      <c r="A399" t="inlineStr">
        <is>
          <t>MiniMax M2.7</t>
        </is>
      </c>
      <c r="B399" t="n">
        <v>57</v>
      </c>
      <c r="C399" t="inlineStr">
        <is>
          <t>% accuracy</t>
        </is>
      </c>
      <c r="D399" t="inlineStr">
        <is>
          <t>NVIDIA NIM - MiniMax M2.7 model card</t>
        </is>
      </c>
    </row>
    <row r="400">
      <c r="A400" t="inlineStr">
        <is>
          <t>Kimi K2.6</t>
        </is>
      </c>
      <c r="B400" t="n">
        <v>66.7</v>
      </c>
      <c r="C400" t="inlineStr">
        <is>
          <t>% accuracy</t>
        </is>
      </c>
      <c r="D400" t="inlineStr">
        <is>
          <t>Moonshot AI - Kimi K2.6 Hugging Face model card</t>
        </is>
      </c>
    </row>
    <row r="401">
      <c r="A401" t="inlineStr">
        <is>
          <t>DeepSeek V4-Pro Max</t>
        </is>
      </c>
      <c r="B401" t="n">
        <v>67.90000000000001</v>
      </c>
      <c r="C401" t="inlineStr">
        <is>
          <t>% accuracy</t>
        </is>
      </c>
      <c r="D401" t="inlineStr">
        <is>
          <t>DeepSeek - DeepSeek-V4-Pro Hugging Face model card</t>
        </is>
      </c>
    </row>
    <row r="402">
      <c r="A402" t="inlineStr">
        <is>
          <t>GLM-5.1</t>
        </is>
      </c>
      <c r="B402" t="n">
        <v>63.5</v>
      </c>
      <c r="C402" t="inlineStr">
        <is>
          <t>% accuracy</t>
        </is>
      </c>
      <c r="D402" t="inlineStr">
        <is>
          <t>NVIDIA NIM - GLM-5.1 model card</t>
        </is>
      </c>
    </row>
    <row r="405">
      <c r="A405" s="4" t="inlineStr">
        <is>
          <t>What is</t>
        </is>
      </c>
      <c r="B405" s="5" t="n"/>
      <c r="C405" s="5" t="n"/>
      <c r="D405" s="5" t="n"/>
      <c r="E405" s="5" t="n"/>
      <c r="F405" s="5" t="n"/>
      <c r="G405" s="5" t="n"/>
      <c r="H405" s="5" t="n"/>
      <c r="I405" s="5" t="n"/>
    </row>
    <row r="406" ht="45" customHeight="1">
      <c r="A406" s="11" t="inlineStr">
        <is>
          <t>Command-line engineering tasks with files, tools, errors, and iteration.</t>
        </is>
      </c>
      <c r="B406" s="5" t="n"/>
      <c r="C406" s="5" t="n"/>
      <c r="D406" s="5" t="n"/>
      <c r="E406" s="5" t="n"/>
      <c r="F406" s="5" t="n"/>
      <c r="G406" s="5" t="n"/>
      <c r="H406" s="5" t="n"/>
      <c r="I406" s="5" t="n"/>
    </row>
    <row r="407" ht="45" customHeight="1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</row>
    <row r="408" ht="45" customHeight="1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</row>
    <row r="410">
      <c r="A410" s="4" t="inlineStr">
        <is>
          <t>Explain for 11</t>
        </is>
      </c>
      <c r="B410" s="5" t="n"/>
      <c r="C410" s="5" t="n"/>
      <c r="D410" s="5" t="n"/>
      <c r="E410" s="5" t="n"/>
      <c r="F410" s="5" t="n"/>
      <c r="G410" s="5" t="n"/>
      <c r="H410" s="5" t="n"/>
      <c r="I410" s="5" t="n"/>
    </row>
    <row r="411" ht="45" customHeight="1">
      <c r="A411" s="11" t="inlineStr">
        <is>
          <t>The AI uses the computer's command box, reads errors, fixes files, and tries again.</t>
        </is>
      </c>
      <c r="B411" s="5" t="n"/>
      <c r="C411" s="5" t="n"/>
      <c r="D411" s="5" t="n"/>
      <c r="E411" s="5" t="n"/>
      <c r="F411" s="5" t="n"/>
      <c r="G411" s="5" t="n"/>
      <c r="H411" s="5" t="n"/>
      <c r="I411" s="5" t="n"/>
    </row>
    <row r="412" ht="45" customHeight="1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</row>
    <row r="413" ht="45" customHeight="1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</row>
    <row r="415">
      <c r="A415" s="4" t="inlineStr">
        <is>
          <t>Top-score example</t>
        </is>
      </c>
      <c r="B415" s="5" t="n"/>
      <c r="C415" s="5" t="n"/>
      <c r="D415" s="5" t="n"/>
      <c r="E415" s="5" t="n"/>
      <c r="F415" s="5" t="n"/>
      <c r="G415" s="5" t="n"/>
      <c r="H415" s="5" t="n"/>
      <c r="I415" s="5" t="n"/>
    </row>
    <row r="416" ht="45" customHeight="1">
      <c r="A416" s="11" t="inlineStr">
        <is>
          <t>Top available score here: ChatGPT 5.5 at 82.7 % accuracy. At that level, the model is solving multi-step terminal workflows like installing, testing, debugging, and file edits.</t>
        </is>
      </c>
      <c r="B416" s="5" t="n"/>
      <c r="C416" s="5" t="n"/>
      <c r="D416" s="5" t="n"/>
      <c r="E416" s="5" t="n"/>
      <c r="F416" s="5" t="n"/>
      <c r="G416" s="5" t="n"/>
      <c r="H416" s="5" t="n"/>
      <c r="I416" s="5" t="n"/>
    </row>
    <row r="417" ht="45" customHeight="1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</row>
    <row r="418" ht="45" customHeight="1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</row>
    <row r="420">
      <c r="A420" s="4" t="inlineStr">
        <is>
          <t>Similar tests and differences</t>
        </is>
      </c>
      <c r="B420" s="5" t="n"/>
      <c r="C420" s="5" t="n"/>
      <c r="D420" s="5" t="n"/>
      <c r="E420" s="5" t="n"/>
      <c r="F420" s="5" t="n"/>
      <c r="G420" s="5" t="n"/>
      <c r="H420" s="5" t="n"/>
      <c r="I420" s="5" t="n"/>
    </row>
    <row r="421" ht="45" customHeight="1">
      <c r="A421" s="11" t="inlineStr">
        <is>
          <t>Tests tool operation; SWE-Bench tests real repository bug fixes.</t>
        </is>
      </c>
      <c r="B421" s="5" t="n"/>
      <c r="C421" s="5" t="n"/>
      <c r="D421" s="5" t="n"/>
      <c r="E421" s="5" t="n"/>
      <c r="F421" s="5" t="n"/>
      <c r="G421" s="5" t="n"/>
      <c r="H421" s="5" t="n"/>
      <c r="I421" s="5" t="n"/>
    </row>
    <row r="422" ht="45" customHeight="1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</row>
    <row r="423" ht="45" customHeight="1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</row>
    <row r="427">
      <c r="A427" s="9" t="inlineStr">
        <is>
          <t>SWE-Bench Verified | 3 - Real software fixes</t>
        </is>
      </c>
    </row>
    <row r="428">
      <c r="A428" s="10" t="inlineStr">
        <is>
          <t>Model</t>
        </is>
      </c>
      <c r="B428" s="10" t="inlineStr">
        <is>
          <t>Score</t>
        </is>
      </c>
      <c r="C428" s="10" t="inlineStr">
        <is>
          <t>Unit</t>
        </is>
      </c>
      <c r="D428" s="10" t="inlineStr">
        <is>
          <t>Source</t>
        </is>
      </c>
    </row>
    <row r="429">
      <c r="A429" t="inlineStr">
        <is>
          <t>Claude Opus 4.7</t>
        </is>
      </c>
      <c r="B429" t="n">
        <v>87.59999999999999</v>
      </c>
      <c r="C429" t="inlineStr">
        <is>
          <t>% resolved</t>
        </is>
      </c>
      <c r="D429" t="inlineStr">
        <is>
          <t>Hokai - Claude Opus 4.7 benchmark summary</t>
        </is>
      </c>
    </row>
    <row r="430">
      <c r="A430" t="inlineStr">
        <is>
          <t>Claude Sonnet 4.6</t>
        </is>
      </c>
      <c r="B430" t="n">
        <v>79.59999999999999</v>
      </c>
      <c r="C430" t="inlineStr">
        <is>
          <t>% resolved</t>
        </is>
      </c>
      <c r="D430" t="inlineStr">
        <is>
          <t>Anthropic - Introducing Claude Sonnet 4.6 and system card</t>
        </is>
      </c>
    </row>
    <row r="431">
      <c r="A431" t="inlineStr">
        <is>
          <t>Kimi K2.6</t>
        </is>
      </c>
      <c r="B431" t="n">
        <v>80.2</v>
      </c>
      <c r="C431" t="inlineStr">
        <is>
          <t>% resolved</t>
        </is>
      </c>
      <c r="D431" t="inlineStr">
        <is>
          <t>Moonshot AI - Kimi K2.6 Hugging Face model card</t>
        </is>
      </c>
    </row>
    <row r="432">
      <c r="A432" t="inlineStr">
        <is>
          <t>DeepSeek V4-Pro Max</t>
        </is>
      </c>
      <c r="B432" t="n">
        <v>80.59999999999999</v>
      </c>
      <c r="C432" t="inlineStr">
        <is>
          <t>% resolved</t>
        </is>
      </c>
      <c r="D432" t="inlineStr">
        <is>
          <t>DeepSeek - DeepSeek-V4-Pro Hugging Face model card</t>
        </is>
      </c>
    </row>
    <row r="439">
      <c r="A439" s="4" t="inlineStr">
        <is>
          <t>What is</t>
        </is>
      </c>
      <c r="B439" s="5" t="n"/>
      <c r="C439" s="5" t="n"/>
      <c r="D439" s="5" t="n"/>
      <c r="E439" s="5" t="n"/>
      <c r="F439" s="5" t="n"/>
      <c r="G439" s="5" t="n"/>
      <c r="H439" s="5" t="n"/>
      <c r="I439" s="5" t="n"/>
    </row>
    <row r="440" ht="45" customHeight="1">
      <c r="A440" s="11" t="inlineStr">
        <is>
          <t>Human-checked GitHub software issues, usually cleaner than the full benchmark.</t>
        </is>
      </c>
      <c r="B440" s="5" t="n"/>
      <c r="C440" s="5" t="n"/>
      <c r="D440" s="5" t="n"/>
      <c r="E440" s="5" t="n"/>
      <c r="F440" s="5" t="n"/>
      <c r="G440" s="5" t="n"/>
      <c r="H440" s="5" t="n"/>
      <c r="I440" s="5" t="n"/>
    </row>
    <row r="441" ht="45" customHeight="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</row>
    <row r="442" ht="45" customHeight="1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</row>
    <row r="444">
      <c r="A444" s="4" t="inlineStr">
        <is>
          <t>Explain for 11</t>
        </is>
      </c>
      <c r="B444" s="5" t="n"/>
      <c r="C444" s="5" t="n"/>
      <c r="D444" s="5" t="n"/>
      <c r="E444" s="5" t="n"/>
      <c r="F444" s="5" t="n"/>
      <c r="G444" s="5" t="n"/>
      <c r="H444" s="5" t="n"/>
      <c r="I444" s="5" t="n"/>
    </row>
    <row r="445" ht="45" customHeight="1">
      <c r="A445" s="11" t="inlineStr">
        <is>
          <t>A trusted set of broken software tasks where humans checked the task is fair.</t>
        </is>
      </c>
      <c r="B445" s="5" t="n"/>
      <c r="C445" s="5" t="n"/>
      <c r="D445" s="5" t="n"/>
      <c r="E445" s="5" t="n"/>
      <c r="F445" s="5" t="n"/>
      <c r="G445" s="5" t="n"/>
      <c r="H445" s="5" t="n"/>
      <c r="I445" s="5" t="n"/>
    </row>
    <row r="446" ht="45" customHeight="1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</row>
    <row r="447" ht="45" customHeight="1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</row>
    <row r="449">
      <c r="A449" s="4" t="inlineStr">
        <is>
          <t>Top-score example</t>
        </is>
      </c>
      <c r="B449" s="5" t="n"/>
      <c r="C449" s="5" t="n"/>
      <c r="D449" s="5" t="n"/>
      <c r="E449" s="5" t="n"/>
      <c r="F449" s="5" t="n"/>
      <c r="G449" s="5" t="n"/>
      <c r="H449" s="5" t="n"/>
      <c r="I449" s="5" t="n"/>
    </row>
    <row r="450" ht="45" customHeight="1">
      <c r="A450" s="11" t="inlineStr">
        <is>
          <t>Top available score here: Claude Opus 4.7 at 87.6 % resolved. At that level, the model is solving real bug fixes where the model must patch code and pass tests.</t>
        </is>
      </c>
      <c r="B450" s="5" t="n"/>
      <c r="C450" s="5" t="n"/>
      <c r="D450" s="5" t="n"/>
      <c r="E450" s="5" t="n"/>
      <c r="F450" s="5" t="n"/>
      <c r="G450" s="5" t="n"/>
      <c r="H450" s="5" t="n"/>
      <c r="I450" s="5" t="n"/>
    </row>
    <row r="451" ht="45" customHeight="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</row>
    <row r="452" ht="45" customHeight="1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</row>
    <row r="454">
      <c r="A454" s="4" t="inlineStr">
        <is>
          <t>Similar tests and differences</t>
        </is>
      </c>
      <c r="B454" s="5" t="n"/>
      <c r="C454" s="5" t="n"/>
      <c r="D454" s="5" t="n"/>
      <c r="E454" s="5" t="n"/>
      <c r="F454" s="5" t="n"/>
      <c r="G454" s="5" t="n"/>
      <c r="H454" s="5" t="n"/>
      <c r="I454" s="5" t="n"/>
    </row>
    <row r="455" ht="45" customHeight="1">
      <c r="A455" s="11" t="inlineStr">
        <is>
          <t>Easier/cleaner than SWE-Bench Pro; less broad than Multilingual.</t>
        </is>
      </c>
      <c r="B455" s="5" t="n"/>
      <c r="C455" s="5" t="n"/>
      <c r="D455" s="5" t="n"/>
      <c r="E455" s="5" t="n"/>
      <c r="F455" s="5" t="n"/>
      <c r="G455" s="5" t="n"/>
      <c r="H455" s="5" t="n"/>
      <c r="I455" s="5" t="n"/>
    </row>
    <row r="456" ht="45" customHeight="1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</row>
    <row r="457" ht="45" customHeight="1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</row>
    <row r="461">
      <c r="A461" s="9" t="inlineStr">
        <is>
          <t>SWE-Bench Pro | 4 - Hard software fixes</t>
        </is>
      </c>
    </row>
    <row r="462">
      <c r="A462" s="10" t="inlineStr">
        <is>
          <t>Model</t>
        </is>
      </c>
      <c r="B462" s="10" t="inlineStr">
        <is>
          <t>Score</t>
        </is>
      </c>
      <c r="C462" s="10" t="inlineStr">
        <is>
          <t>Unit</t>
        </is>
      </c>
      <c r="D462" s="10" t="inlineStr">
        <is>
          <t>Source</t>
        </is>
      </c>
    </row>
    <row r="463">
      <c r="A463" t="inlineStr">
        <is>
          <t>ChatGPT 5.5</t>
        </is>
      </c>
      <c r="B463" t="n">
        <v>58.6</v>
      </c>
      <c r="C463" t="inlineStr">
        <is>
          <t>% resolved</t>
        </is>
      </c>
      <c r="D463" t="inlineStr">
        <is>
          <t>OpenAI - Introducing GPT-5.5; BenchLM - SWE-bench Pro leaderboard</t>
        </is>
      </c>
    </row>
    <row r="464">
      <c r="A464" t="inlineStr">
        <is>
          <t>ChatGPT 5.3 Codex</t>
        </is>
      </c>
      <c r="B464" t="n">
        <v>56.8</v>
      </c>
      <c r="C464" t="inlineStr">
        <is>
          <t>% resolved</t>
        </is>
      </c>
      <c r="D464" t="inlineStr">
        <is>
          <t>OpenAI - Introducing GPT-5.3-Codex; BenchLM - SWE-bench Pro leaderboard</t>
        </is>
      </c>
    </row>
    <row r="465">
      <c r="A465" t="inlineStr">
        <is>
          <t>Claude Opus 4.7</t>
        </is>
      </c>
      <c r="B465" t="n">
        <v>64.3</v>
      </c>
      <c r="C465" t="inlineStr">
        <is>
          <t>% resolved</t>
        </is>
      </c>
      <c r="D465" t="inlineStr">
        <is>
          <t>BenchLM - SWE-bench Pro leaderboard; Hokai - Claude Opus 4.7 benchmark summary</t>
        </is>
      </c>
    </row>
    <row r="466">
      <c r="A466" t="inlineStr">
        <is>
          <t>MiniMax M2.7</t>
        </is>
      </c>
      <c r="B466" t="n">
        <v>56.22</v>
      </c>
      <c r="C466" t="inlineStr">
        <is>
          <t>% resolved</t>
        </is>
      </c>
      <c r="D466" t="inlineStr">
        <is>
          <t>NVIDIA NIM - MiniMax M2.7 model card; BenchLM - SWE-bench Pro leaderboard</t>
        </is>
      </c>
    </row>
    <row r="467">
      <c r="A467" t="inlineStr">
        <is>
          <t>Kimi K2.6</t>
        </is>
      </c>
      <c r="B467" t="n">
        <v>58.6</v>
      </c>
      <c r="C467" t="inlineStr">
        <is>
          <t>% resolved</t>
        </is>
      </c>
      <c r="D467" t="inlineStr">
        <is>
          <t>Moonshot AI - Kimi K2.6 Hugging Face model card; BenchLM - SWE-bench Pro leaderboard</t>
        </is>
      </c>
    </row>
    <row r="468">
      <c r="A468" t="inlineStr">
        <is>
          <t>DeepSeek V4-Pro Max</t>
        </is>
      </c>
      <c r="B468" t="n">
        <v>55.4</v>
      </c>
      <c r="C468" t="inlineStr">
        <is>
          <t>% resolved</t>
        </is>
      </c>
      <c r="D468" t="inlineStr">
        <is>
          <t>DeepSeek - DeepSeek-V4-Pro Hugging Face model card; BenchLM - SWE-bench Pro leaderboard</t>
        </is>
      </c>
    </row>
    <row r="469">
      <c r="A469" t="inlineStr">
        <is>
          <t>GLM-5.1</t>
        </is>
      </c>
      <c r="B469" t="n">
        <v>58.4</v>
      </c>
      <c r="C469" t="inlineStr">
        <is>
          <t>% resolved</t>
        </is>
      </c>
      <c r="D469" t="inlineStr">
        <is>
          <t>NVIDIA NIM - GLM-5.1 model card; BenchLM - SWE-bench Pro leaderboard</t>
        </is>
      </c>
    </row>
    <row r="473">
      <c r="A473" s="4" t="inlineStr">
        <is>
          <t>What is</t>
        </is>
      </c>
      <c r="B473" s="5" t="n"/>
      <c r="C473" s="5" t="n"/>
      <c r="D473" s="5" t="n"/>
      <c r="E473" s="5" t="n"/>
      <c r="F473" s="5" t="n"/>
      <c r="G473" s="5" t="n"/>
      <c r="H473" s="5" t="n"/>
      <c r="I473" s="5" t="n"/>
    </row>
    <row r="474" ht="45" customHeight="1">
      <c r="A474" s="11" t="inlineStr">
        <is>
          <t>A harder real-repository software repair benchmark.</t>
        </is>
      </c>
      <c r="B474" s="5" t="n"/>
      <c r="C474" s="5" t="n"/>
      <c r="D474" s="5" t="n"/>
      <c r="E474" s="5" t="n"/>
      <c r="F474" s="5" t="n"/>
      <c r="G474" s="5" t="n"/>
      <c r="H474" s="5" t="n"/>
      <c r="I474" s="5" t="n"/>
    </row>
    <row r="475" ht="45" customHeight="1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</row>
    <row r="476" ht="45" customHeight="1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</row>
    <row r="478">
      <c r="A478" s="4" t="inlineStr">
        <is>
          <t>Explain for 11</t>
        </is>
      </c>
      <c r="B478" s="5" t="n"/>
      <c r="C478" s="5" t="n"/>
      <c r="D478" s="5" t="n"/>
      <c r="E478" s="5" t="n"/>
      <c r="F478" s="5" t="n"/>
      <c r="G478" s="5" t="n"/>
      <c r="H478" s="5" t="n"/>
      <c r="I478" s="5" t="n"/>
    </row>
    <row r="479" ht="45" customHeight="1">
      <c r="A479" s="11" t="inlineStr">
        <is>
          <t>A tough broken app: find the bug, edit the right files, and prove the fix works.</t>
        </is>
      </c>
      <c r="B479" s="5" t="n"/>
      <c r="C479" s="5" t="n"/>
      <c r="D479" s="5" t="n"/>
      <c r="E479" s="5" t="n"/>
      <c r="F479" s="5" t="n"/>
      <c r="G479" s="5" t="n"/>
      <c r="H479" s="5" t="n"/>
      <c r="I479" s="5" t="n"/>
    </row>
    <row r="480" ht="45" customHeight="1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</row>
    <row r="481" ht="45" customHeight="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</row>
    <row r="483">
      <c r="A483" s="4" t="inlineStr">
        <is>
          <t>Top-score example</t>
        </is>
      </c>
      <c r="B483" s="5" t="n"/>
      <c r="C483" s="5" t="n"/>
      <c r="D483" s="5" t="n"/>
      <c r="E483" s="5" t="n"/>
      <c r="F483" s="5" t="n"/>
      <c r="G483" s="5" t="n"/>
      <c r="H483" s="5" t="n"/>
      <c r="I483" s="5" t="n"/>
    </row>
    <row r="484" ht="45" customHeight="1">
      <c r="A484" s="11" t="inlineStr">
        <is>
          <t>Top available score here: Claude Opus 4.7 at 64.3 % resolved. At that level, the model is solving messy GitHub issues needing code reading, reasoning, and tests.</t>
        </is>
      </c>
      <c r="B484" s="5" t="n"/>
      <c r="C484" s="5" t="n"/>
      <c r="D484" s="5" t="n"/>
      <c r="E484" s="5" t="n"/>
      <c r="F484" s="5" t="n"/>
      <c r="G484" s="5" t="n"/>
      <c r="H484" s="5" t="n"/>
      <c r="I484" s="5" t="n"/>
    </row>
    <row r="485" ht="45" customHeight="1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</row>
    <row r="486" ht="45" customHeight="1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</row>
    <row r="488">
      <c r="A488" s="4" t="inlineStr">
        <is>
          <t>Similar tests and differences</t>
        </is>
      </c>
      <c r="B488" s="5" t="n"/>
      <c r="C488" s="5" t="n"/>
      <c r="D488" s="5" t="n"/>
      <c r="E488" s="5" t="n"/>
      <c r="F488" s="5" t="n"/>
      <c r="G488" s="5" t="n"/>
      <c r="H488" s="5" t="n"/>
      <c r="I488" s="5" t="n"/>
    </row>
    <row r="489" ht="45" customHeight="1">
      <c r="A489" s="11" t="inlineStr">
        <is>
          <t>Harder than Verified; more directly comparable across frontier coding agents.</t>
        </is>
      </c>
      <c r="B489" s="5" t="n"/>
      <c r="C489" s="5" t="n"/>
      <c r="D489" s="5" t="n"/>
      <c r="E489" s="5" t="n"/>
      <c r="F489" s="5" t="n"/>
      <c r="G489" s="5" t="n"/>
      <c r="H489" s="5" t="n"/>
      <c r="I489" s="5" t="n"/>
    </row>
    <row r="490" ht="45" customHeight="1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</row>
    <row r="491" ht="45" customHeight="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</row>
    <row r="495">
      <c r="A495" s="9" t="inlineStr">
        <is>
          <t>SWE-Bench Multilingual | 4 - Multilingual software</t>
        </is>
      </c>
    </row>
    <row r="496">
      <c r="A496" s="10" t="inlineStr">
        <is>
          <t>Model</t>
        </is>
      </c>
      <c r="B496" s="10" t="inlineStr">
        <is>
          <t>Score</t>
        </is>
      </c>
      <c r="C496" s="10" t="inlineStr">
        <is>
          <t>Unit</t>
        </is>
      </c>
      <c r="D496" s="10" t="inlineStr">
        <is>
          <t>Source</t>
        </is>
      </c>
    </row>
    <row r="497">
      <c r="A497" t="inlineStr">
        <is>
          <t>MiniMax M2.7</t>
        </is>
      </c>
      <c r="B497" t="n">
        <v>76.5</v>
      </c>
      <c r="C497" t="inlineStr">
        <is>
          <t>% resolved</t>
        </is>
      </c>
      <c r="D497" t="inlineStr">
        <is>
          <t>NVIDIA NIM - MiniMax M2.7 model card</t>
        </is>
      </c>
    </row>
    <row r="498">
      <c r="A498" t="inlineStr">
        <is>
          <t>Kimi K2.6</t>
        </is>
      </c>
      <c r="B498" t="n">
        <v>76.7</v>
      </c>
      <c r="C498" t="inlineStr">
        <is>
          <t>% resolved</t>
        </is>
      </c>
      <c r="D498" t="inlineStr">
        <is>
          <t>Moonshot AI - Kimi K2.6 Hugging Face model card</t>
        </is>
      </c>
    </row>
    <row r="499">
      <c r="A499" t="inlineStr">
        <is>
          <t>DeepSeek V4-Pro Max</t>
        </is>
      </c>
      <c r="B499" t="n">
        <v>76.2</v>
      </c>
      <c r="C499" t="inlineStr">
        <is>
          <t>% resolved</t>
        </is>
      </c>
      <c r="D499" t="inlineStr">
        <is>
          <t>DeepSeek - DeepSeek-V4-Pro Hugging Face model card</t>
        </is>
      </c>
    </row>
    <row r="507">
      <c r="A507" s="4" t="inlineStr">
        <is>
          <t>What is</t>
        </is>
      </c>
      <c r="B507" s="5" t="n"/>
      <c r="C507" s="5" t="n"/>
      <c r="D507" s="5" t="n"/>
      <c r="E507" s="5" t="n"/>
      <c r="F507" s="5" t="n"/>
      <c r="G507" s="5" t="n"/>
      <c r="H507" s="5" t="n"/>
      <c r="I507" s="5" t="n"/>
    </row>
    <row r="508" ht="45" customHeight="1">
      <c r="A508" s="11" t="inlineStr">
        <is>
          <t>SWE-style tasks across programming languages.</t>
        </is>
      </c>
      <c r="B508" s="5" t="n"/>
      <c r="C508" s="5" t="n"/>
      <c r="D508" s="5" t="n"/>
      <c r="E508" s="5" t="n"/>
      <c r="F508" s="5" t="n"/>
      <c r="G508" s="5" t="n"/>
      <c r="H508" s="5" t="n"/>
      <c r="I508" s="5" t="n"/>
    </row>
    <row r="509" ht="45" customHeight="1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</row>
    <row r="510" ht="45" customHeight="1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</row>
    <row r="512">
      <c r="A512" s="4" t="inlineStr">
        <is>
          <t>Explain for 11</t>
        </is>
      </c>
      <c r="B512" s="5" t="n"/>
      <c r="C512" s="5" t="n"/>
      <c r="D512" s="5" t="n"/>
      <c r="E512" s="5" t="n"/>
      <c r="F512" s="5" t="n"/>
      <c r="G512" s="5" t="n"/>
      <c r="H512" s="5" t="n"/>
      <c r="I512" s="5" t="n"/>
    </row>
    <row r="513" ht="45" customHeight="1">
      <c r="A513" s="11" t="inlineStr">
        <is>
          <t>Like fixing software, but the project might not be Python.</t>
        </is>
      </c>
      <c r="B513" s="5" t="n"/>
      <c r="C513" s="5" t="n"/>
      <c r="D513" s="5" t="n"/>
      <c r="E513" s="5" t="n"/>
      <c r="F513" s="5" t="n"/>
      <c r="G513" s="5" t="n"/>
      <c r="H513" s="5" t="n"/>
      <c r="I513" s="5" t="n"/>
    </row>
    <row r="514" ht="45" customHeight="1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</row>
    <row r="515" ht="45" customHeight="1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</row>
    <row r="517">
      <c r="A517" s="4" t="inlineStr">
        <is>
          <t>Top-score example</t>
        </is>
      </c>
      <c r="B517" s="5" t="n"/>
      <c r="C517" s="5" t="n"/>
      <c r="D517" s="5" t="n"/>
      <c r="E517" s="5" t="n"/>
      <c r="F517" s="5" t="n"/>
      <c r="G517" s="5" t="n"/>
      <c r="H517" s="5" t="n"/>
      <c r="I517" s="5" t="n"/>
    </row>
    <row r="518" ht="45" customHeight="1">
      <c r="A518" s="11" t="inlineStr">
        <is>
          <t>Top available score here: Kimi K2.6 at 76.7 % resolved. At that level, the model is solving bugs in JavaScript, Java, Go, Rust, or other language projects.</t>
        </is>
      </c>
      <c r="B518" s="5" t="n"/>
      <c r="C518" s="5" t="n"/>
      <c r="D518" s="5" t="n"/>
      <c r="E518" s="5" t="n"/>
      <c r="F518" s="5" t="n"/>
      <c r="G518" s="5" t="n"/>
      <c r="H518" s="5" t="n"/>
      <c r="I518" s="5" t="n"/>
    </row>
    <row r="519" ht="45" customHeight="1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</row>
    <row r="520" ht="45" customHeight="1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</row>
    <row r="522">
      <c r="A522" s="4" t="inlineStr">
        <is>
          <t>Similar tests and differences</t>
        </is>
      </c>
      <c r="B522" s="5" t="n"/>
      <c r="C522" s="5" t="n"/>
      <c r="D522" s="5" t="n"/>
      <c r="E522" s="5" t="n"/>
      <c r="F522" s="5" t="n"/>
      <c r="G522" s="5" t="n"/>
      <c r="H522" s="5" t="n"/>
      <c r="I522" s="5" t="n"/>
    </row>
    <row r="523" ht="45" customHeight="1">
      <c r="A523" s="11" t="inlineStr">
        <is>
          <t>Different from language benchmarks: this is programming-language diversity.</t>
        </is>
      </c>
      <c r="B523" s="5" t="n"/>
      <c r="C523" s="5" t="n"/>
      <c r="D523" s="5" t="n"/>
      <c r="E523" s="5" t="n"/>
      <c r="F523" s="5" t="n"/>
      <c r="G523" s="5" t="n"/>
      <c r="H523" s="5" t="n"/>
      <c r="I523" s="5" t="n"/>
    </row>
    <row r="524" ht="45" customHeight="1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</row>
    <row r="525" ht="45" customHeight="1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</row>
    <row r="529">
      <c r="A529" s="9" t="inlineStr">
        <is>
          <t>Multi SWE Bench | 4 - Multi-repo software</t>
        </is>
      </c>
    </row>
    <row r="530">
      <c r="A530" s="10" t="inlineStr">
        <is>
          <t>Model</t>
        </is>
      </c>
      <c r="B530" s="10" t="inlineStr">
        <is>
          <t>Score</t>
        </is>
      </c>
      <c r="C530" s="10" t="inlineStr">
        <is>
          <t>Unit</t>
        </is>
      </c>
      <c r="D530" s="10" t="inlineStr">
        <is>
          <t>Source</t>
        </is>
      </c>
    </row>
    <row r="531">
      <c r="A531" t="inlineStr">
        <is>
          <t>MiniMax M2.7</t>
        </is>
      </c>
      <c r="B531" t="n">
        <v>52.7</v>
      </c>
      <c r="C531" t="inlineStr">
        <is>
          <t>% resolved</t>
        </is>
      </c>
      <c r="D531" t="inlineStr">
        <is>
          <t>NVIDIA NIM - MiniMax M2.7 model card</t>
        </is>
      </c>
    </row>
    <row r="541">
      <c r="A541" s="4" t="inlineStr">
        <is>
          <t>What is</t>
        </is>
      </c>
      <c r="B541" s="5" t="n"/>
      <c r="C541" s="5" t="n"/>
      <c r="D541" s="5" t="n"/>
      <c r="E541" s="5" t="n"/>
      <c r="F541" s="5" t="n"/>
      <c r="G541" s="5" t="n"/>
      <c r="H541" s="5" t="n"/>
      <c r="I541" s="5" t="n"/>
    </row>
    <row r="542" ht="45" customHeight="1">
      <c r="A542" s="11" t="inlineStr">
        <is>
          <t>Software engineering tasks that can span larger or multiple repositories.</t>
        </is>
      </c>
      <c r="B542" s="5" t="n"/>
      <c r="C542" s="5" t="n"/>
      <c r="D542" s="5" t="n"/>
      <c r="E542" s="5" t="n"/>
      <c r="F542" s="5" t="n"/>
      <c r="G542" s="5" t="n"/>
      <c r="H542" s="5" t="n"/>
      <c r="I542" s="5" t="n"/>
    </row>
    <row r="543" ht="45" customHeight="1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</row>
    <row r="544" ht="45" customHeight="1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</row>
    <row r="546">
      <c r="A546" s="4" t="inlineStr">
        <is>
          <t>Explain for 11</t>
        </is>
      </c>
      <c r="B546" s="5" t="n"/>
      <c r="C546" s="5" t="n"/>
      <c r="D546" s="5" t="n"/>
      <c r="E546" s="5" t="n"/>
      <c r="F546" s="5" t="n"/>
      <c r="G546" s="5" t="n"/>
      <c r="H546" s="5" t="n"/>
      <c r="I546" s="5" t="n"/>
    </row>
    <row r="547" ht="45" customHeight="1">
      <c r="A547" s="11" t="inlineStr">
        <is>
          <t>The AI has to understand more than one folder or project area.</t>
        </is>
      </c>
      <c r="B547" s="5" t="n"/>
      <c r="C547" s="5" t="n"/>
      <c r="D547" s="5" t="n"/>
      <c r="E547" s="5" t="n"/>
      <c r="F547" s="5" t="n"/>
      <c r="G547" s="5" t="n"/>
      <c r="H547" s="5" t="n"/>
      <c r="I547" s="5" t="n"/>
    </row>
    <row r="548" ht="45" customHeight="1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</row>
    <row r="549" ht="45" customHeight="1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</row>
    <row r="551">
      <c r="A551" s="4" t="inlineStr">
        <is>
          <t>Top-score example</t>
        </is>
      </c>
      <c r="B551" s="5" t="n"/>
      <c r="C551" s="5" t="n"/>
      <c r="D551" s="5" t="n"/>
      <c r="E551" s="5" t="n"/>
      <c r="F551" s="5" t="n"/>
      <c r="G551" s="5" t="n"/>
      <c r="H551" s="5" t="n"/>
      <c r="I551" s="5" t="n"/>
    </row>
    <row r="552" ht="45" customHeight="1">
      <c r="A552" s="11" t="inlineStr">
        <is>
          <t>Top available score here: MiniMax M2.7 at 52.7 % resolved. At that level, the model is solving repository-level changes that need broader context.</t>
        </is>
      </c>
      <c r="B552" s="5" t="n"/>
      <c r="C552" s="5" t="n"/>
      <c r="D552" s="5" t="n"/>
      <c r="E552" s="5" t="n"/>
      <c r="F552" s="5" t="n"/>
      <c r="G552" s="5" t="n"/>
      <c r="H552" s="5" t="n"/>
      <c r="I552" s="5" t="n"/>
    </row>
    <row r="553" ht="45" customHeight="1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</row>
    <row r="554" ht="45" customHeight="1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</row>
    <row r="556">
      <c r="A556" s="4" t="inlineStr">
        <is>
          <t>Similar tests and differences</t>
        </is>
      </c>
      <c r="B556" s="5" t="n"/>
      <c r="C556" s="5" t="n"/>
      <c r="D556" s="5" t="n"/>
      <c r="E556" s="5" t="n"/>
      <c r="F556" s="5" t="n"/>
      <c r="G556" s="5" t="n"/>
      <c r="H556" s="5" t="n"/>
      <c r="I556" s="5" t="n"/>
    </row>
    <row r="557" ht="45" customHeight="1">
      <c r="A557" s="11" t="inlineStr">
        <is>
          <t>Close to SWE-Bench, but more about wider codebase navigation.</t>
        </is>
      </c>
      <c r="B557" s="5" t="n"/>
      <c r="C557" s="5" t="n"/>
      <c r="D557" s="5" t="n"/>
      <c r="E557" s="5" t="n"/>
      <c r="F557" s="5" t="n"/>
      <c r="G557" s="5" t="n"/>
      <c r="H557" s="5" t="n"/>
      <c r="I557" s="5" t="n"/>
    </row>
    <row r="558" ht="45" customHeight="1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</row>
    <row r="559" ht="45" customHeight="1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</row>
    <row r="563">
      <c r="A563" s="9" t="inlineStr">
        <is>
          <t>SWE-Lancer IC Diamond | 4 - Freelance software work</t>
        </is>
      </c>
    </row>
    <row r="564">
      <c r="A564" s="10" t="inlineStr">
        <is>
          <t>Model</t>
        </is>
      </c>
      <c r="B564" s="10" t="inlineStr">
        <is>
          <t>Score</t>
        </is>
      </c>
      <c r="C564" s="10" t="inlineStr">
        <is>
          <t>Unit</t>
        </is>
      </c>
      <c r="D564" s="10" t="inlineStr">
        <is>
          <t>Source</t>
        </is>
      </c>
    </row>
    <row r="565">
      <c r="A565" t="inlineStr">
        <is>
          <t>ChatGPT 5.3 Codex</t>
        </is>
      </c>
      <c r="B565" t="n">
        <v>81.40000000000001</v>
      </c>
      <c r="C565" t="inlineStr">
        <is>
          <t>% score</t>
        </is>
      </c>
      <c r="D565" t="inlineStr">
        <is>
          <t>OpenAI - Introducing GPT-5.3-Codex</t>
        </is>
      </c>
    </row>
    <row r="575">
      <c r="A575" s="4" t="inlineStr">
        <is>
          <t>What is</t>
        </is>
      </c>
      <c r="B575" s="5" t="n"/>
      <c r="C575" s="5" t="n"/>
      <c r="D575" s="5" t="n"/>
      <c r="E575" s="5" t="n"/>
      <c r="F575" s="5" t="n"/>
      <c r="G575" s="5" t="n"/>
      <c r="H575" s="5" t="n"/>
      <c r="I575" s="5" t="n"/>
    </row>
    <row r="576" ht="45" customHeight="1">
      <c r="A576" s="11" t="inlineStr">
        <is>
          <t>Hard software tasks modeled after independent-contractor work.</t>
        </is>
      </c>
      <c r="B576" s="5" t="n"/>
      <c r="C576" s="5" t="n"/>
      <c r="D576" s="5" t="n"/>
      <c r="E576" s="5" t="n"/>
      <c r="F576" s="5" t="n"/>
      <c r="G576" s="5" t="n"/>
      <c r="H576" s="5" t="n"/>
      <c r="I576" s="5" t="n"/>
    </row>
    <row r="577" ht="45" customHeight="1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</row>
    <row r="578" ht="45" customHeight="1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</row>
    <row r="580">
      <c r="A580" s="4" t="inlineStr">
        <is>
          <t>Explain for 11</t>
        </is>
      </c>
      <c r="B580" s="5" t="n"/>
      <c r="C580" s="5" t="n"/>
      <c r="D580" s="5" t="n"/>
      <c r="E580" s="5" t="n"/>
      <c r="F580" s="5" t="n"/>
      <c r="G580" s="5" t="n"/>
      <c r="H580" s="5" t="n"/>
      <c r="I580" s="5" t="n"/>
    </row>
    <row r="581" ht="45" customHeight="1">
      <c r="A581" s="11" t="inlineStr">
        <is>
          <t>A freelance coding job where the final result must satisfy a client-style task.</t>
        </is>
      </c>
      <c r="B581" s="5" t="n"/>
      <c r="C581" s="5" t="n"/>
      <c r="D581" s="5" t="n"/>
      <c r="E581" s="5" t="n"/>
      <c r="F581" s="5" t="n"/>
      <c r="G581" s="5" t="n"/>
      <c r="H581" s="5" t="n"/>
      <c r="I581" s="5" t="n"/>
    </row>
    <row r="582" ht="45" customHeight="1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</row>
    <row r="583" ht="45" customHeight="1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</row>
    <row r="585">
      <c r="A585" s="4" t="inlineStr">
        <is>
          <t>Top-score example</t>
        </is>
      </c>
      <c r="B585" s="5" t="n"/>
      <c r="C585" s="5" t="n"/>
      <c r="D585" s="5" t="n"/>
      <c r="E585" s="5" t="n"/>
      <c r="F585" s="5" t="n"/>
      <c r="G585" s="5" t="n"/>
      <c r="H585" s="5" t="n"/>
      <c r="I585" s="5" t="n"/>
    </row>
    <row r="586" ht="45" customHeight="1">
      <c r="A586" s="11" t="inlineStr">
        <is>
          <t>Top available score here: ChatGPT 5.3 Codex at 81.4 % score. At that level, the model is solving larger practical coding jobs with project constraints.</t>
        </is>
      </c>
      <c r="B586" s="5" t="n"/>
      <c r="C586" s="5" t="n"/>
      <c r="D586" s="5" t="n"/>
      <c r="E586" s="5" t="n"/>
      <c r="F586" s="5" t="n"/>
      <c r="G586" s="5" t="n"/>
      <c r="H586" s="5" t="n"/>
      <c r="I586" s="5" t="n"/>
    </row>
    <row r="587" ht="45" customHeight="1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</row>
    <row r="588" ht="45" customHeight="1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</row>
    <row r="590">
      <c r="A590" s="4" t="inlineStr">
        <is>
          <t>Similar tests and differences</t>
        </is>
      </c>
      <c r="B590" s="5" t="n"/>
      <c r="C590" s="5" t="n"/>
      <c r="D590" s="5" t="n"/>
      <c r="E590" s="5" t="n"/>
      <c r="F590" s="5" t="n"/>
      <c r="G590" s="5" t="n"/>
      <c r="H590" s="5" t="n"/>
      <c r="I590" s="5" t="n"/>
    </row>
    <row r="591" ht="45" customHeight="1">
      <c r="A591" s="11" t="inlineStr">
        <is>
          <t>More work-like than HumanEval; related to SWE-Bench but framed as paid tasks.</t>
        </is>
      </c>
      <c r="B591" s="5" t="n"/>
      <c r="C591" s="5" t="n"/>
      <c r="D591" s="5" t="n"/>
      <c r="E591" s="5" t="n"/>
      <c r="F591" s="5" t="n"/>
      <c r="G591" s="5" t="n"/>
      <c r="H591" s="5" t="n"/>
      <c r="I591" s="5" t="n"/>
    </row>
    <row r="592" ht="45" customHeight="1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</row>
    <row r="593" ht="45" customHeight="1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</row>
    <row r="597">
      <c r="A597" s="9" t="inlineStr">
        <is>
          <t>NL2Repo | 4 - Build from request</t>
        </is>
      </c>
    </row>
    <row r="598">
      <c r="A598" s="10" t="inlineStr">
        <is>
          <t>Model</t>
        </is>
      </c>
      <c r="B598" s="10" t="inlineStr">
        <is>
          <t>Score</t>
        </is>
      </c>
      <c r="C598" s="10" t="inlineStr">
        <is>
          <t>Unit</t>
        </is>
      </c>
      <c r="D598" s="10" t="inlineStr">
        <is>
          <t>Source</t>
        </is>
      </c>
    </row>
    <row r="599">
      <c r="A599" t="inlineStr">
        <is>
          <t>MiniMax M2.7</t>
        </is>
      </c>
      <c r="B599" t="n">
        <v>39.8</v>
      </c>
      <c r="C599" t="inlineStr">
        <is>
          <t>% score</t>
        </is>
      </c>
      <c r="D599" t="inlineStr">
        <is>
          <t>NVIDIA NIM - MiniMax M2.7 model card</t>
        </is>
      </c>
    </row>
    <row r="600">
      <c r="A600" t="inlineStr">
        <is>
          <t>GLM-5.1</t>
        </is>
      </c>
      <c r="B600" t="n">
        <v>42.7</v>
      </c>
      <c r="C600" t="inlineStr">
        <is>
          <t>% score</t>
        </is>
      </c>
      <c r="D600" t="inlineStr">
        <is>
          <t>NVIDIA NIM - GLM-5.1 model card</t>
        </is>
      </c>
    </row>
    <row r="609">
      <c r="A609" s="4" t="inlineStr">
        <is>
          <t>What is</t>
        </is>
      </c>
      <c r="B609" s="5" t="n"/>
      <c r="C609" s="5" t="n"/>
      <c r="D609" s="5" t="n"/>
      <c r="E609" s="5" t="n"/>
      <c r="F609" s="5" t="n"/>
      <c r="G609" s="5" t="n"/>
      <c r="H609" s="5" t="n"/>
      <c r="I609" s="5" t="n"/>
    </row>
    <row r="610" ht="45" customHeight="1">
      <c r="A610" s="11" t="inlineStr">
        <is>
          <t>Turns natural-language requirements into repository-level code changes.</t>
        </is>
      </c>
      <c r="B610" s="5" t="n"/>
      <c r="C610" s="5" t="n"/>
      <c r="D610" s="5" t="n"/>
      <c r="E610" s="5" t="n"/>
      <c r="F610" s="5" t="n"/>
      <c r="G610" s="5" t="n"/>
      <c r="H610" s="5" t="n"/>
      <c r="I610" s="5" t="n"/>
    </row>
    <row r="611" ht="45" customHeight="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</row>
    <row r="612" ht="45" customHeight="1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</row>
    <row r="614">
      <c r="A614" s="4" t="inlineStr">
        <is>
          <t>Explain for 11</t>
        </is>
      </c>
      <c r="B614" s="5" t="n"/>
      <c r="C614" s="5" t="n"/>
      <c r="D614" s="5" t="n"/>
      <c r="E614" s="5" t="n"/>
      <c r="F614" s="5" t="n"/>
      <c r="G614" s="5" t="n"/>
      <c r="H614" s="5" t="n"/>
      <c r="I614" s="5" t="n"/>
    </row>
    <row r="615" ht="45" customHeight="1">
      <c r="A615" s="11" t="inlineStr">
        <is>
          <t>Someone describes what they want, and the AI has to change the whole project.</t>
        </is>
      </c>
      <c r="B615" s="5" t="n"/>
      <c r="C615" s="5" t="n"/>
      <c r="D615" s="5" t="n"/>
      <c r="E615" s="5" t="n"/>
      <c r="F615" s="5" t="n"/>
      <c r="G615" s="5" t="n"/>
      <c r="H615" s="5" t="n"/>
      <c r="I615" s="5" t="n"/>
    </row>
    <row r="616" ht="45" customHeight="1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</row>
    <row r="617" ht="45" customHeight="1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</row>
    <row r="619">
      <c r="A619" s="4" t="inlineStr">
        <is>
          <t>Top-score example</t>
        </is>
      </c>
      <c r="B619" s="5" t="n"/>
      <c r="C619" s="5" t="n"/>
      <c r="D619" s="5" t="n"/>
      <c r="E619" s="5" t="n"/>
      <c r="F619" s="5" t="n"/>
      <c r="G619" s="5" t="n"/>
      <c r="H619" s="5" t="n"/>
      <c r="I619" s="5" t="n"/>
    </row>
    <row r="620" ht="45" customHeight="1">
      <c r="A620" s="11" t="inlineStr">
        <is>
          <t>Top available score here: GLM-5.1 at 42.7 % score. At that level, the model is solving feature work across files from a plain-English request.</t>
        </is>
      </c>
      <c r="B620" s="5" t="n"/>
      <c r="C620" s="5" t="n"/>
      <c r="D620" s="5" t="n"/>
      <c r="E620" s="5" t="n"/>
      <c r="F620" s="5" t="n"/>
      <c r="G620" s="5" t="n"/>
      <c r="H620" s="5" t="n"/>
      <c r="I620" s="5" t="n"/>
    </row>
    <row r="621" ht="45" customHeight="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</row>
    <row r="622" ht="45" customHeight="1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</row>
    <row r="624">
      <c r="A624" s="4" t="inlineStr">
        <is>
          <t>Similar tests and differences</t>
        </is>
      </c>
      <c r="B624" s="5" t="n"/>
      <c r="C624" s="5" t="n"/>
      <c r="D624" s="5" t="n"/>
      <c r="E624" s="5" t="n"/>
      <c r="F624" s="5" t="n"/>
      <c r="G624" s="5" t="n"/>
      <c r="H624" s="5" t="n"/>
      <c r="I624" s="5" t="n"/>
    </row>
    <row r="625" ht="45" customHeight="1">
      <c r="A625" s="11" t="inlineStr">
        <is>
          <t>More creation-oriented than SWE-Bench, which starts with known issues.</t>
        </is>
      </c>
      <c r="B625" s="5" t="n"/>
      <c r="C625" s="5" t="n"/>
      <c r="D625" s="5" t="n"/>
      <c r="E625" s="5" t="n"/>
      <c r="F625" s="5" t="n"/>
      <c r="G625" s="5" t="n"/>
      <c r="H625" s="5" t="n"/>
      <c r="I625" s="5" t="n"/>
    </row>
    <row r="626" ht="45" customHeight="1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</row>
    <row r="627" ht="45" customHeight="1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</row>
    <row r="631">
      <c r="A631" s="9" t="inlineStr">
        <is>
          <t>VIBE-Pro | 4 - Full project delivery</t>
        </is>
      </c>
    </row>
    <row r="632">
      <c r="A632" s="10" t="inlineStr">
        <is>
          <t>Model</t>
        </is>
      </c>
      <c r="B632" s="10" t="inlineStr">
        <is>
          <t>Score</t>
        </is>
      </c>
      <c r="C632" s="10" t="inlineStr">
        <is>
          <t>Unit</t>
        </is>
      </c>
      <c r="D632" s="10" t="inlineStr">
        <is>
          <t>Source</t>
        </is>
      </c>
    </row>
    <row r="633">
      <c r="A633" t="inlineStr">
        <is>
          <t>MiniMax M2.7</t>
        </is>
      </c>
      <c r="B633" t="n">
        <v>55.6</v>
      </c>
      <c r="C633" t="inlineStr">
        <is>
          <t>% score</t>
        </is>
      </c>
      <c r="D633" t="inlineStr">
        <is>
          <t>NVIDIA NIM - MiniMax M2.7 model card</t>
        </is>
      </c>
    </row>
    <row r="643">
      <c r="A643" s="4" t="inlineStr">
        <is>
          <t>What is</t>
        </is>
      </c>
      <c r="B643" s="5" t="n"/>
      <c r="C643" s="5" t="n"/>
      <c r="D643" s="5" t="n"/>
      <c r="E643" s="5" t="n"/>
      <c r="F643" s="5" t="n"/>
      <c r="G643" s="5" t="n"/>
      <c r="H643" s="5" t="n"/>
      <c r="I643" s="5" t="n"/>
    </row>
    <row r="644" ht="45" customHeight="1">
      <c r="A644" s="11" t="inlineStr">
        <is>
          <t>End-to-end project delivery or app-building benchmark.</t>
        </is>
      </c>
      <c r="B644" s="5" t="n"/>
      <c r="C644" s="5" t="n"/>
      <c r="D644" s="5" t="n"/>
      <c r="E644" s="5" t="n"/>
      <c r="F644" s="5" t="n"/>
      <c r="G644" s="5" t="n"/>
      <c r="H644" s="5" t="n"/>
      <c r="I644" s="5" t="n"/>
    </row>
    <row r="645" ht="45" customHeight="1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</row>
    <row r="646" ht="45" customHeight="1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</row>
    <row r="648">
      <c r="A648" s="4" t="inlineStr">
        <is>
          <t>Explain for 11</t>
        </is>
      </c>
      <c r="B648" s="5" t="n"/>
      <c r="C648" s="5" t="n"/>
      <c r="D648" s="5" t="n"/>
      <c r="E648" s="5" t="n"/>
      <c r="F648" s="5" t="n"/>
      <c r="G648" s="5" t="n"/>
      <c r="H648" s="5" t="n"/>
      <c r="I648" s="5" t="n"/>
    </row>
    <row r="649" ht="45" customHeight="1">
      <c r="A649" s="11" t="inlineStr">
        <is>
          <t>Can the AI build the whole little product, not just solve one puzzle?</t>
        </is>
      </c>
      <c r="B649" s="5" t="n"/>
      <c r="C649" s="5" t="n"/>
      <c r="D649" s="5" t="n"/>
      <c r="E649" s="5" t="n"/>
      <c r="F649" s="5" t="n"/>
      <c r="G649" s="5" t="n"/>
      <c r="H649" s="5" t="n"/>
      <c r="I649" s="5" t="n"/>
    </row>
    <row r="650" ht="45" customHeight="1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</row>
    <row r="651" ht="45" customHeight="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</row>
    <row r="653">
      <c r="A653" s="4" t="inlineStr">
        <is>
          <t>Top-score example</t>
        </is>
      </c>
      <c r="B653" s="5" t="n"/>
      <c r="C653" s="5" t="n"/>
      <c r="D653" s="5" t="n"/>
      <c r="E653" s="5" t="n"/>
      <c r="F653" s="5" t="n"/>
      <c r="G653" s="5" t="n"/>
      <c r="H653" s="5" t="n"/>
      <c r="I653" s="5" t="n"/>
    </row>
    <row r="654" ht="45" customHeight="1">
      <c r="A654" s="11" t="inlineStr">
        <is>
          <t>Top available score here: MiniMax M2.7 at 55.6 % score. At that level, the model is solving multi-file implementation tasks with polish and working behavior.</t>
        </is>
      </c>
      <c r="B654" s="5" t="n"/>
      <c r="C654" s="5" t="n"/>
      <c r="D654" s="5" t="n"/>
      <c r="E654" s="5" t="n"/>
      <c r="F654" s="5" t="n"/>
      <c r="G654" s="5" t="n"/>
      <c r="H654" s="5" t="n"/>
      <c r="I654" s="5" t="n"/>
    </row>
    <row r="655" ht="45" customHeight="1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</row>
    <row r="656" ht="45" customHeight="1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</row>
    <row r="658">
      <c r="A658" s="4" t="inlineStr">
        <is>
          <t>Similar tests and differences</t>
        </is>
      </c>
      <c r="B658" s="5" t="n"/>
      <c r="C658" s="5" t="n"/>
      <c r="D658" s="5" t="n"/>
      <c r="E658" s="5" t="n"/>
      <c r="F658" s="5" t="n"/>
      <c r="G658" s="5" t="n"/>
      <c r="H658" s="5" t="n"/>
      <c r="I658" s="5" t="n"/>
    </row>
    <row r="659" ht="45" customHeight="1">
      <c r="A659" s="11" t="inlineStr">
        <is>
          <t>Broader than NL2Repo; more product-like than a coding contest.</t>
        </is>
      </c>
      <c r="B659" s="5" t="n"/>
      <c r="C659" s="5" t="n"/>
      <c r="D659" s="5" t="n"/>
      <c r="E659" s="5" t="n"/>
      <c r="F659" s="5" t="n"/>
      <c r="G659" s="5" t="n"/>
      <c r="H659" s="5" t="n"/>
      <c r="I659" s="5" t="n"/>
    </row>
    <row r="660" ht="45" customHeight="1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</row>
    <row r="661" ht="45" customHeight="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</row>
    <row r="665">
      <c r="A665" s="9" t="inlineStr">
        <is>
          <t>Codeforces | 4 - Competitive programming</t>
        </is>
      </c>
    </row>
    <row r="666">
      <c r="A666" s="10" t="inlineStr">
        <is>
          <t>Model</t>
        </is>
      </c>
      <c r="B666" s="10" t="inlineStr">
        <is>
          <t>Score</t>
        </is>
      </c>
      <c r="C666" s="10" t="inlineStr">
        <is>
          <t>Unit</t>
        </is>
      </c>
      <c r="D666" s="10" t="inlineStr">
        <is>
          <t>Source</t>
        </is>
      </c>
    </row>
    <row r="667">
      <c r="A667" t="inlineStr">
        <is>
          <t>DeepSeek V4-Pro Max</t>
        </is>
      </c>
      <c r="B667" t="n">
        <v>3206</v>
      </c>
      <c r="C667" t="inlineStr">
        <is>
          <t>rating</t>
        </is>
      </c>
      <c r="D667" t="inlineStr">
        <is>
          <t>DeepSeek - DeepSeek-V4-Pro Hugging Face model card</t>
        </is>
      </c>
    </row>
    <row r="677">
      <c r="A677" s="4" t="inlineStr">
        <is>
          <t>What is</t>
        </is>
      </c>
      <c r="B677" s="5" t="n"/>
      <c r="C677" s="5" t="n"/>
      <c r="D677" s="5" t="n"/>
      <c r="E677" s="5" t="n"/>
      <c r="F677" s="5" t="n"/>
      <c r="G677" s="5" t="n"/>
      <c r="H677" s="5" t="n"/>
      <c r="I677" s="5" t="n"/>
    </row>
    <row r="678" ht="45" customHeight="1">
      <c r="A678" s="11" t="inlineStr">
        <is>
          <t>A competitive-programming rating based on algorithmic problem solving.</t>
        </is>
      </c>
      <c r="B678" s="5" t="n"/>
      <c r="C678" s="5" t="n"/>
      <c r="D678" s="5" t="n"/>
      <c r="E678" s="5" t="n"/>
      <c r="F678" s="5" t="n"/>
      <c r="G678" s="5" t="n"/>
      <c r="H678" s="5" t="n"/>
      <c r="I678" s="5" t="n"/>
    </row>
    <row r="679" ht="45" customHeight="1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</row>
    <row r="680" ht="45" customHeight="1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</row>
    <row r="682">
      <c r="A682" s="4" t="inlineStr">
        <is>
          <t>Explain for 11</t>
        </is>
      </c>
      <c r="B682" s="5" t="n"/>
      <c r="C682" s="5" t="n"/>
      <c r="D682" s="5" t="n"/>
      <c r="E682" s="5" t="n"/>
      <c r="F682" s="5" t="n"/>
      <c r="G682" s="5" t="n"/>
      <c r="H682" s="5" t="n"/>
      <c r="I682" s="5" t="n"/>
    </row>
    <row r="683" ht="45" customHeight="1">
      <c r="A683" s="11" t="inlineStr">
        <is>
          <t>Like a chess rating, but for programming contests.</t>
        </is>
      </c>
      <c r="B683" s="5" t="n"/>
      <c r="C683" s="5" t="n"/>
      <c r="D683" s="5" t="n"/>
      <c r="E683" s="5" t="n"/>
      <c r="F683" s="5" t="n"/>
      <c r="G683" s="5" t="n"/>
      <c r="H683" s="5" t="n"/>
      <c r="I683" s="5" t="n"/>
    </row>
    <row r="684" ht="45" customHeight="1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</row>
    <row r="685" ht="45" customHeight="1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</row>
    <row r="687">
      <c r="A687" s="4" t="inlineStr">
        <is>
          <t>Top-score example</t>
        </is>
      </c>
      <c r="B687" s="5" t="n"/>
      <c r="C687" s="5" t="n"/>
      <c r="D687" s="5" t="n"/>
      <c r="E687" s="5" t="n"/>
      <c r="F687" s="5" t="n"/>
      <c r="G687" s="5" t="n"/>
      <c r="H687" s="5" t="n"/>
      <c r="I687" s="5" t="n"/>
    </row>
    <row r="688" ht="45" customHeight="1">
      <c r="A688" s="11" t="inlineStr">
        <is>
          <t>Top available score here: DeepSeek V4-Pro Max at 3206 rating. At that level, the model is solving advanced algorithms under contest-style constraints.</t>
        </is>
      </c>
      <c r="B688" s="5" t="n"/>
      <c r="C688" s="5" t="n"/>
      <c r="D688" s="5" t="n"/>
      <c r="E688" s="5" t="n"/>
      <c r="F688" s="5" t="n"/>
      <c r="G688" s="5" t="n"/>
      <c r="H688" s="5" t="n"/>
      <c r="I688" s="5" t="n"/>
    </row>
    <row r="689" ht="45" customHeight="1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</row>
    <row r="690" ht="45" customHeight="1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</row>
    <row r="692">
      <c r="A692" s="4" t="inlineStr">
        <is>
          <t>Similar tests and differences</t>
        </is>
      </c>
      <c r="B692" s="5" t="n"/>
      <c r="C692" s="5" t="n"/>
      <c r="D692" s="5" t="n"/>
      <c r="E692" s="5" t="n"/>
      <c r="F692" s="5" t="n"/>
      <c r="G692" s="5" t="n"/>
      <c r="H692" s="5" t="n"/>
      <c r="I692" s="5" t="n"/>
    </row>
    <row r="693" ht="45" customHeight="1">
      <c r="A693" s="11" t="inlineStr">
        <is>
          <t>Comparable to LiveCodeBench only loosely; rating and percent scores are different.</t>
        </is>
      </c>
      <c r="B693" s="5" t="n"/>
      <c r="C693" s="5" t="n"/>
      <c r="D693" s="5" t="n"/>
      <c r="E693" s="5" t="n"/>
      <c r="F693" s="5" t="n"/>
      <c r="G693" s="5" t="n"/>
      <c r="H693" s="5" t="n"/>
      <c r="I693" s="5" t="n"/>
    </row>
    <row r="694" ht="45" customHeight="1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</row>
    <row r="695" ht="45" customHeight="1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</row>
    <row r="699">
      <c r="A699" s="9" t="inlineStr">
        <is>
          <t>GPQA-Diamond | 4 - Expert science</t>
        </is>
      </c>
    </row>
    <row r="700">
      <c r="A700" s="10" t="inlineStr">
        <is>
          <t>Model</t>
        </is>
      </c>
      <c r="B700" s="10" t="inlineStr">
        <is>
          <t>Score</t>
        </is>
      </c>
      <c r="C700" s="10" t="inlineStr">
        <is>
          <t>Unit</t>
        </is>
      </c>
      <c r="D700" s="10" t="inlineStr">
        <is>
          <t>Source</t>
        </is>
      </c>
    </row>
    <row r="701">
      <c r="A701" t="inlineStr">
        <is>
          <t>Claude Opus 4.7</t>
        </is>
      </c>
      <c r="B701" t="n">
        <v>94.2</v>
      </c>
      <c r="C701" t="inlineStr">
        <is>
          <t>% accuracy</t>
        </is>
      </c>
      <c r="D701" t="inlineStr">
        <is>
          <t>Hokai - Claude Opus 4.7 benchmark summary</t>
        </is>
      </c>
    </row>
    <row r="702">
      <c r="A702" t="inlineStr">
        <is>
          <t>Kimi K2.6</t>
        </is>
      </c>
      <c r="B702" t="n">
        <v>90.5</v>
      </c>
      <c r="C702" t="inlineStr">
        <is>
          <t>% accuracy</t>
        </is>
      </c>
      <c r="D702" t="inlineStr">
        <is>
          <t>Moonshot AI - Kimi K2.6 Hugging Face model card</t>
        </is>
      </c>
    </row>
    <row r="703">
      <c r="A703" t="inlineStr">
        <is>
          <t>DeepSeek V4-Pro Max</t>
        </is>
      </c>
      <c r="B703" t="n">
        <v>90.09999999999999</v>
      </c>
      <c r="C703" t="inlineStr">
        <is>
          <t>% accuracy</t>
        </is>
      </c>
      <c r="D703" t="inlineStr">
        <is>
          <t>DeepSeek - DeepSeek-V4-Pro Hugging Face model card</t>
        </is>
      </c>
    </row>
    <row r="704">
      <c r="A704" t="inlineStr">
        <is>
          <t>GLM-5.1</t>
        </is>
      </c>
      <c r="B704" t="n">
        <v>86.2</v>
      </c>
      <c r="C704" t="inlineStr">
        <is>
          <t>% accuracy</t>
        </is>
      </c>
      <c r="D704" t="inlineStr">
        <is>
          <t>NVIDIA NIM - GLM-5.1 model card</t>
        </is>
      </c>
    </row>
    <row r="711">
      <c r="A711" s="4" t="inlineStr">
        <is>
          <t>What is</t>
        </is>
      </c>
      <c r="B711" s="5" t="n"/>
      <c r="C711" s="5" t="n"/>
      <c r="D711" s="5" t="n"/>
      <c r="E711" s="5" t="n"/>
      <c r="F711" s="5" t="n"/>
      <c r="G711" s="5" t="n"/>
      <c r="H711" s="5" t="n"/>
      <c r="I711" s="5" t="n"/>
    </row>
    <row r="712" ht="45" customHeight="1">
      <c r="A712" s="11" t="inlineStr">
        <is>
          <t>Very hard graduate-level science questions.</t>
        </is>
      </c>
      <c r="B712" s="5" t="n"/>
      <c r="C712" s="5" t="n"/>
      <c r="D712" s="5" t="n"/>
      <c r="E712" s="5" t="n"/>
      <c r="F712" s="5" t="n"/>
      <c r="G712" s="5" t="n"/>
      <c r="H712" s="5" t="n"/>
      <c r="I712" s="5" t="n"/>
    </row>
    <row r="713" ht="45" customHeight="1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</row>
    <row r="714" ht="45" customHeight="1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</row>
    <row r="716">
      <c r="A716" s="4" t="inlineStr">
        <is>
          <t>Explain for 11</t>
        </is>
      </c>
      <c r="B716" s="5" t="n"/>
      <c r="C716" s="5" t="n"/>
      <c r="D716" s="5" t="n"/>
      <c r="E716" s="5" t="n"/>
      <c r="F716" s="5" t="n"/>
      <c r="G716" s="5" t="n"/>
      <c r="H716" s="5" t="n"/>
      <c r="I716" s="5" t="n"/>
    </row>
    <row r="717" ht="45" customHeight="1">
      <c r="A717" s="11" t="inlineStr">
        <is>
          <t>Science questions where even smart adults may need the right specialty.</t>
        </is>
      </c>
      <c r="B717" s="5" t="n"/>
      <c r="C717" s="5" t="n"/>
      <c r="D717" s="5" t="n"/>
      <c r="E717" s="5" t="n"/>
      <c r="F717" s="5" t="n"/>
      <c r="G717" s="5" t="n"/>
      <c r="H717" s="5" t="n"/>
      <c r="I717" s="5" t="n"/>
    </row>
    <row r="718" ht="45" customHeight="1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</row>
    <row r="719" ht="45" customHeight="1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</row>
    <row r="721">
      <c r="A721" s="4" t="inlineStr">
        <is>
          <t>Top-score example</t>
        </is>
      </c>
      <c r="B721" s="5" t="n"/>
      <c r="C721" s="5" t="n"/>
      <c r="D721" s="5" t="n"/>
      <c r="E721" s="5" t="n"/>
      <c r="F721" s="5" t="n"/>
      <c r="G721" s="5" t="n"/>
      <c r="H721" s="5" t="n"/>
      <c r="I721" s="5" t="n"/>
    </row>
    <row r="722" ht="45" customHeight="1">
      <c r="A722" s="11" t="inlineStr">
        <is>
          <t>Top available score here: Claude Opus 4.7 at 94.2 % accuracy. At that level, the model is solving physics, chemistry, and biology questions that punish guessing.</t>
        </is>
      </c>
      <c r="B722" s="5" t="n"/>
      <c r="C722" s="5" t="n"/>
      <c r="D722" s="5" t="n"/>
      <c r="E722" s="5" t="n"/>
      <c r="F722" s="5" t="n"/>
      <c r="G722" s="5" t="n"/>
      <c r="H722" s="5" t="n"/>
      <c r="I722" s="5" t="n"/>
    </row>
    <row r="723" ht="45" customHeight="1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</row>
    <row r="724" ht="45" customHeight="1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</row>
    <row r="726">
      <c r="A726" s="4" t="inlineStr">
        <is>
          <t>Similar tests and differences</t>
        </is>
      </c>
      <c r="B726" s="5" t="n"/>
      <c r="C726" s="5" t="n"/>
      <c r="D726" s="5" t="n"/>
      <c r="E726" s="5" t="n"/>
      <c r="F726" s="5" t="n"/>
      <c r="G726" s="5" t="n"/>
      <c r="H726" s="5" t="n"/>
      <c r="I726" s="5" t="n"/>
    </row>
    <row r="727" ht="45" customHeight="1">
      <c r="A727" s="11" t="inlineStr">
        <is>
          <t>Narrower and deeper than MMLU-Pro; less math-contest-specific than AIME.</t>
        </is>
      </c>
      <c r="B727" s="5" t="n"/>
      <c r="C727" s="5" t="n"/>
      <c r="D727" s="5" t="n"/>
      <c r="E727" s="5" t="n"/>
      <c r="F727" s="5" t="n"/>
      <c r="G727" s="5" t="n"/>
      <c r="H727" s="5" t="n"/>
      <c r="I727" s="5" t="n"/>
    </row>
    <row r="728" ht="45" customHeight="1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</row>
    <row r="729" ht="45" customHeight="1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</row>
    <row r="733">
      <c r="A733" s="9" t="inlineStr">
        <is>
          <t>AIME 2026 | 4 - Elite school math</t>
        </is>
      </c>
    </row>
    <row r="734">
      <c r="A734" s="10" t="inlineStr">
        <is>
          <t>Model</t>
        </is>
      </c>
      <c r="B734" s="10" t="inlineStr">
        <is>
          <t>Score</t>
        </is>
      </c>
      <c r="C734" s="10" t="inlineStr">
        <is>
          <t>Unit</t>
        </is>
      </c>
      <c r="D734" s="10" t="inlineStr">
        <is>
          <t>Source</t>
        </is>
      </c>
    </row>
    <row r="735">
      <c r="A735" t="inlineStr">
        <is>
          <t>Claude Opus 4.7</t>
        </is>
      </c>
      <c r="B735" t="n">
        <v>90</v>
      </c>
      <c r="C735" t="inlineStr">
        <is>
          <t>% accuracy</t>
        </is>
      </c>
      <c r="D735" t="inlineStr">
        <is>
          <t>LayerLens - Claude Opus 4.7 on AIME 2026</t>
        </is>
      </c>
    </row>
    <row r="736">
      <c r="A736" t="inlineStr">
        <is>
          <t>Kimi K2.6</t>
        </is>
      </c>
      <c r="B736" t="n">
        <v>96.40000000000001</v>
      </c>
      <c r="C736" t="inlineStr">
        <is>
          <t>% accuracy</t>
        </is>
      </c>
      <c r="D736" t="inlineStr">
        <is>
          <t>Moonshot AI - Kimi K2.6 Hugging Face model card</t>
        </is>
      </c>
    </row>
    <row r="737">
      <c r="A737" t="inlineStr">
        <is>
          <t>GLM-5.1</t>
        </is>
      </c>
      <c r="B737" t="n">
        <v>95.3</v>
      </c>
      <c r="C737" t="inlineStr">
        <is>
          <t>% accuracy</t>
        </is>
      </c>
      <c r="D737" t="inlineStr">
        <is>
          <t>NVIDIA NIM - GLM-5.1 model card</t>
        </is>
      </c>
    </row>
    <row r="745">
      <c r="A745" s="4" t="inlineStr">
        <is>
          <t>What is</t>
        </is>
      </c>
      <c r="B745" s="5" t="n"/>
      <c r="C745" s="5" t="n"/>
      <c r="D745" s="5" t="n"/>
      <c r="E745" s="5" t="n"/>
      <c r="F745" s="5" t="n"/>
      <c r="G745" s="5" t="n"/>
      <c r="H745" s="5" t="n"/>
      <c r="I745" s="5" t="n"/>
    </row>
    <row r="746" ht="45" customHeight="1">
      <c r="A746" s="11" t="inlineStr">
        <is>
          <t>American Invitational Mathematics Examination problems.</t>
        </is>
      </c>
      <c r="B746" s="5" t="n"/>
      <c r="C746" s="5" t="n"/>
      <c r="D746" s="5" t="n"/>
      <c r="E746" s="5" t="n"/>
      <c r="F746" s="5" t="n"/>
      <c r="G746" s="5" t="n"/>
      <c r="H746" s="5" t="n"/>
      <c r="I746" s="5" t="n"/>
    </row>
    <row r="747" ht="45" customHeight="1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</row>
    <row r="748" ht="45" customHeight="1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</row>
    <row r="750">
      <c r="A750" s="4" t="inlineStr">
        <is>
          <t>Explain for 11</t>
        </is>
      </c>
      <c r="B750" s="5" t="n"/>
      <c r="C750" s="5" t="n"/>
      <c r="D750" s="5" t="n"/>
      <c r="E750" s="5" t="n"/>
      <c r="F750" s="5" t="n"/>
      <c r="G750" s="5" t="n"/>
      <c r="H750" s="5" t="n"/>
      <c r="I750" s="5" t="n"/>
    </row>
    <row r="751" ht="45" customHeight="1">
      <c r="A751" s="11" t="inlineStr">
        <is>
          <t>Very hard high-school math contest questions with exact numeric answers.</t>
        </is>
      </c>
      <c r="B751" s="5" t="n"/>
      <c r="C751" s="5" t="n"/>
      <c r="D751" s="5" t="n"/>
      <c r="E751" s="5" t="n"/>
      <c r="F751" s="5" t="n"/>
      <c r="G751" s="5" t="n"/>
      <c r="H751" s="5" t="n"/>
      <c r="I751" s="5" t="n"/>
    </row>
    <row r="752" ht="45" customHeight="1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</row>
    <row r="753" ht="45" customHeight="1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</row>
    <row r="755">
      <c r="A755" s="4" t="inlineStr">
        <is>
          <t>Top-score example</t>
        </is>
      </c>
      <c r="B755" s="5" t="n"/>
      <c r="C755" s="5" t="n"/>
      <c r="D755" s="5" t="n"/>
      <c r="E755" s="5" t="n"/>
      <c r="F755" s="5" t="n"/>
      <c r="G755" s="5" t="n"/>
      <c r="H755" s="5" t="n"/>
      <c r="I755" s="5" t="n"/>
    </row>
    <row r="756" ht="45" customHeight="1">
      <c r="A756" s="11" t="inlineStr">
        <is>
          <t>Top available score here: Kimi K2.6 at 96.4 % accuracy. At that level, the model is solving number theory, geometry, algebra, and counting puzzles.</t>
        </is>
      </c>
      <c r="B756" s="5" t="n"/>
      <c r="C756" s="5" t="n"/>
      <c r="D756" s="5" t="n"/>
      <c r="E756" s="5" t="n"/>
      <c r="F756" s="5" t="n"/>
      <c r="G756" s="5" t="n"/>
      <c r="H756" s="5" t="n"/>
      <c r="I756" s="5" t="n"/>
    </row>
    <row r="757" ht="45" customHeight="1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</row>
    <row r="758" ht="45" customHeight="1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</row>
    <row r="760">
      <c r="A760" s="4" t="inlineStr">
        <is>
          <t>Similar tests and differences</t>
        </is>
      </c>
      <c r="B760" s="5" t="n"/>
      <c r="C760" s="5" t="n"/>
      <c r="D760" s="5" t="n"/>
      <c r="E760" s="5" t="n"/>
      <c r="F760" s="5" t="n"/>
      <c r="G760" s="5" t="n"/>
      <c r="H760" s="5" t="n"/>
      <c r="I760" s="5" t="n"/>
    </row>
    <row r="761" ht="45" customHeight="1">
      <c r="A761" s="11" t="inlineStr">
        <is>
          <t>Harder than MATH; usually easier than HMMT/IMO and FrontierMath.</t>
        </is>
      </c>
      <c r="B761" s="5" t="n"/>
      <c r="C761" s="5" t="n"/>
      <c r="D761" s="5" t="n"/>
      <c r="E761" s="5" t="n"/>
      <c r="F761" s="5" t="n"/>
      <c r="G761" s="5" t="n"/>
      <c r="H761" s="5" t="n"/>
      <c r="I761" s="5" t="n"/>
    </row>
    <row r="762" ht="45" customHeight="1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</row>
    <row r="763" ht="45" customHeight="1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</row>
    <row r="767">
      <c r="A767" s="9" t="inlineStr">
        <is>
          <t>HMMT 2025 Nov | 5 - Elite contest math</t>
        </is>
      </c>
    </row>
    <row r="768">
      <c r="A768" s="10" t="inlineStr">
        <is>
          <t>Model</t>
        </is>
      </c>
      <c r="B768" s="10" t="inlineStr">
        <is>
          <t>Score</t>
        </is>
      </c>
      <c r="C768" s="10" t="inlineStr">
        <is>
          <t>Unit</t>
        </is>
      </c>
      <c r="D768" s="10" t="inlineStr">
        <is>
          <t>Source</t>
        </is>
      </c>
    </row>
    <row r="769">
      <c r="A769" t="inlineStr">
        <is>
          <t>GLM-5.1</t>
        </is>
      </c>
      <c r="B769" t="n">
        <v>94</v>
      </c>
      <c r="C769" t="inlineStr">
        <is>
          <t>% pass</t>
        </is>
      </c>
      <c r="D769" t="inlineStr">
        <is>
          <t>NVIDIA NIM - GLM-5.1 model card</t>
        </is>
      </c>
    </row>
    <row r="779">
      <c r="A779" s="4" t="inlineStr">
        <is>
          <t>What is</t>
        </is>
      </c>
      <c r="B779" s="5" t="n"/>
      <c r="C779" s="5" t="n"/>
      <c r="D779" s="5" t="n"/>
      <c r="E779" s="5" t="n"/>
      <c r="F779" s="5" t="n"/>
      <c r="G779" s="5" t="n"/>
      <c r="H779" s="5" t="n"/>
      <c r="I779" s="5" t="n"/>
    </row>
    <row r="780" ht="45" customHeight="1">
      <c r="A780" s="11" t="inlineStr">
        <is>
          <t>Harvard-MIT math tournament problems.</t>
        </is>
      </c>
      <c r="B780" s="5" t="n"/>
      <c r="C780" s="5" t="n"/>
      <c r="D780" s="5" t="n"/>
      <c r="E780" s="5" t="n"/>
      <c r="F780" s="5" t="n"/>
      <c r="G780" s="5" t="n"/>
      <c r="H780" s="5" t="n"/>
      <c r="I780" s="5" t="n"/>
    </row>
    <row r="781" ht="45" customHeight="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</row>
    <row r="782" ht="45" customHeight="1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</row>
    <row r="784">
      <c r="A784" s="4" t="inlineStr">
        <is>
          <t>Explain for 11</t>
        </is>
      </c>
      <c r="B784" s="5" t="n"/>
      <c r="C784" s="5" t="n"/>
      <c r="D784" s="5" t="n"/>
      <c r="E784" s="5" t="n"/>
      <c r="F784" s="5" t="n"/>
      <c r="G784" s="5" t="n"/>
      <c r="H784" s="5" t="n"/>
      <c r="I784" s="5" t="n"/>
    </row>
    <row r="785" ht="45" customHeight="1">
      <c r="A785" s="11" t="inlineStr">
        <is>
          <t>A top school math team contest with clever, compressed puzzles.</t>
        </is>
      </c>
      <c r="B785" s="5" t="n"/>
      <c r="C785" s="5" t="n"/>
      <c r="D785" s="5" t="n"/>
      <c r="E785" s="5" t="n"/>
      <c r="F785" s="5" t="n"/>
      <c r="G785" s="5" t="n"/>
      <c r="H785" s="5" t="n"/>
      <c r="I785" s="5" t="n"/>
    </row>
    <row r="786" ht="45" customHeight="1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</row>
    <row r="787" ht="45" customHeight="1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</row>
    <row r="789">
      <c r="A789" s="4" t="inlineStr">
        <is>
          <t>Top-score example</t>
        </is>
      </c>
      <c r="B789" s="5" t="n"/>
      <c r="C789" s="5" t="n"/>
      <c r="D789" s="5" t="n"/>
      <c r="E789" s="5" t="n"/>
      <c r="F789" s="5" t="n"/>
      <c r="G789" s="5" t="n"/>
      <c r="H789" s="5" t="n"/>
      <c r="I789" s="5" t="n"/>
    </row>
    <row r="790" ht="45" customHeight="1">
      <c r="A790" s="11" t="inlineStr">
        <is>
          <t>Top available score here: GLM-5.1 at 94 % pass. At that level, the model is solving high-end contest math with several clever insights.</t>
        </is>
      </c>
      <c r="B790" s="5" t="n"/>
      <c r="C790" s="5" t="n"/>
      <c r="D790" s="5" t="n"/>
      <c r="E790" s="5" t="n"/>
      <c r="F790" s="5" t="n"/>
      <c r="G790" s="5" t="n"/>
      <c r="H790" s="5" t="n"/>
      <c r="I790" s="5" t="n"/>
    </row>
    <row r="791" ht="45" customHeight="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</row>
    <row r="792" ht="45" customHeight="1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</row>
    <row r="794">
      <c r="A794" s="4" t="inlineStr">
        <is>
          <t>Similar tests and differences</t>
        </is>
      </c>
      <c r="B794" s="5" t="n"/>
      <c r="C794" s="5" t="n"/>
      <c r="D794" s="5" t="n"/>
      <c r="E794" s="5" t="n"/>
      <c r="F794" s="5" t="n"/>
      <c r="G794" s="5" t="n"/>
      <c r="H794" s="5" t="n"/>
      <c r="I794" s="5" t="n"/>
    </row>
    <row r="795" ht="45" customHeight="1">
      <c r="A795" s="11" t="inlineStr">
        <is>
          <t>Similar to HMMT 2026 Feb; both sit above AIME-style difficulty.</t>
        </is>
      </c>
      <c r="B795" s="5" t="n"/>
      <c r="C795" s="5" t="n"/>
      <c r="D795" s="5" t="n"/>
      <c r="E795" s="5" t="n"/>
      <c r="F795" s="5" t="n"/>
      <c r="G795" s="5" t="n"/>
      <c r="H795" s="5" t="n"/>
      <c r="I795" s="5" t="n"/>
    </row>
    <row r="796" ht="45" customHeight="1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</row>
    <row r="797" ht="45" customHeight="1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</row>
    <row r="801">
      <c r="A801" s="9" t="inlineStr">
        <is>
          <t>HMMT 2026 Feb | 5 - Elite contest math</t>
        </is>
      </c>
    </row>
    <row r="802">
      <c r="A802" s="10" t="inlineStr">
        <is>
          <t>Model</t>
        </is>
      </c>
      <c r="B802" s="10" t="inlineStr">
        <is>
          <t>Score</t>
        </is>
      </c>
      <c r="C802" s="10" t="inlineStr">
        <is>
          <t>Unit</t>
        </is>
      </c>
      <c r="D802" s="10" t="inlineStr">
        <is>
          <t>Source</t>
        </is>
      </c>
    </row>
    <row r="803">
      <c r="A803" t="inlineStr">
        <is>
          <t>Kimi K2.6</t>
        </is>
      </c>
      <c r="B803" t="n">
        <v>92.7</v>
      </c>
      <c r="C803" t="inlineStr">
        <is>
          <t>% pass</t>
        </is>
      </c>
      <c r="D803" t="inlineStr">
        <is>
          <t>Moonshot AI - Kimi K2.6 Hugging Face model card</t>
        </is>
      </c>
    </row>
    <row r="804">
      <c r="A804" t="inlineStr">
        <is>
          <t>DeepSeek V4-Pro Max</t>
        </is>
      </c>
      <c r="B804" t="n">
        <v>95.2</v>
      </c>
      <c r="C804" t="inlineStr">
        <is>
          <t>% pass</t>
        </is>
      </c>
      <c r="D804" t="inlineStr">
        <is>
          <t>DeepSeek - DeepSeek-V4-Pro Hugging Face model card</t>
        </is>
      </c>
    </row>
    <row r="805">
      <c r="A805" t="inlineStr">
        <is>
          <t>GLM-5.1</t>
        </is>
      </c>
      <c r="B805" t="n">
        <v>82.59999999999999</v>
      </c>
      <c r="C805" t="inlineStr">
        <is>
          <t>% pass</t>
        </is>
      </c>
      <c r="D805" t="inlineStr">
        <is>
          <t>NVIDIA NIM - GLM-5.1 model card</t>
        </is>
      </c>
    </row>
    <row r="813">
      <c r="A813" s="4" t="inlineStr">
        <is>
          <t>What is</t>
        </is>
      </c>
      <c r="B813" s="5" t="n"/>
      <c r="C813" s="5" t="n"/>
      <c r="D813" s="5" t="n"/>
      <c r="E813" s="5" t="n"/>
      <c r="F813" s="5" t="n"/>
      <c r="G813" s="5" t="n"/>
      <c r="H813" s="5" t="n"/>
      <c r="I813" s="5" t="n"/>
    </row>
    <row r="814" ht="45" customHeight="1">
      <c r="A814" s="11" t="inlineStr">
        <is>
          <t>Harvard-MIT math tournament problems from February 2026.</t>
        </is>
      </c>
      <c r="B814" s="5" t="n"/>
      <c r="C814" s="5" t="n"/>
      <c r="D814" s="5" t="n"/>
      <c r="E814" s="5" t="n"/>
      <c r="F814" s="5" t="n"/>
      <c r="G814" s="5" t="n"/>
      <c r="H814" s="5" t="n"/>
      <c r="I814" s="5" t="n"/>
    </row>
    <row r="815" ht="45" customHeight="1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</row>
    <row r="816" ht="45" customHeight="1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</row>
    <row r="818">
      <c r="A818" s="4" t="inlineStr">
        <is>
          <t>Explain for 11</t>
        </is>
      </c>
      <c r="B818" s="5" t="n"/>
      <c r="C818" s="5" t="n"/>
      <c r="D818" s="5" t="n"/>
      <c r="E818" s="5" t="n"/>
      <c r="F818" s="5" t="n"/>
      <c r="G818" s="5" t="n"/>
      <c r="H818" s="5" t="n"/>
      <c r="I818" s="5" t="n"/>
    </row>
    <row r="819" ht="45" customHeight="1">
      <c r="A819" s="11" t="inlineStr">
        <is>
          <t>A very hard team math contest for students who love puzzles.</t>
        </is>
      </c>
      <c r="B819" s="5" t="n"/>
      <c r="C819" s="5" t="n"/>
      <c r="D819" s="5" t="n"/>
      <c r="E819" s="5" t="n"/>
      <c r="F819" s="5" t="n"/>
      <c r="G819" s="5" t="n"/>
      <c r="H819" s="5" t="n"/>
      <c r="I819" s="5" t="n"/>
    </row>
    <row r="820" ht="45" customHeight="1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</row>
    <row r="821" ht="45" customHeight="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</row>
    <row r="823">
      <c r="A823" s="4" t="inlineStr">
        <is>
          <t>Top-score example</t>
        </is>
      </c>
      <c r="B823" s="5" t="n"/>
      <c r="C823" s="5" t="n"/>
      <c r="D823" s="5" t="n"/>
      <c r="E823" s="5" t="n"/>
      <c r="F823" s="5" t="n"/>
      <c r="G823" s="5" t="n"/>
      <c r="H823" s="5" t="n"/>
      <c r="I823" s="5" t="n"/>
    </row>
    <row r="824" ht="45" customHeight="1">
      <c r="A824" s="11" t="inlineStr">
        <is>
          <t>Top available score here: DeepSeek V4-Pro Max at 95.2 % pass. At that level, the model is solving high-end contest math with tricky multi-step solutions.</t>
        </is>
      </c>
      <c r="B824" s="5" t="n"/>
      <c r="C824" s="5" t="n"/>
      <c r="D824" s="5" t="n"/>
      <c r="E824" s="5" t="n"/>
      <c r="F824" s="5" t="n"/>
      <c r="G824" s="5" t="n"/>
      <c r="H824" s="5" t="n"/>
      <c r="I824" s="5" t="n"/>
    </row>
    <row r="825" ht="45" customHeight="1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</row>
    <row r="826" ht="45" customHeight="1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</row>
    <row r="828">
      <c r="A828" s="4" t="inlineStr">
        <is>
          <t>Similar tests and differences</t>
        </is>
      </c>
      <c r="B828" s="5" t="n"/>
      <c r="C828" s="5" t="n"/>
      <c r="D828" s="5" t="n"/>
      <c r="E828" s="5" t="n"/>
      <c r="F828" s="5" t="n"/>
      <c r="G828" s="5" t="n"/>
      <c r="H828" s="5" t="n"/>
      <c r="I828" s="5" t="n"/>
    </row>
    <row r="829" ht="45" customHeight="1">
      <c r="A829" s="11" t="inlineStr">
        <is>
          <t>Harder than AIME; less open-ended than IMO-style answer benchmarks.</t>
        </is>
      </c>
      <c r="B829" s="5" t="n"/>
      <c r="C829" s="5" t="n"/>
      <c r="D829" s="5" t="n"/>
      <c r="E829" s="5" t="n"/>
      <c r="F829" s="5" t="n"/>
      <c r="G829" s="5" t="n"/>
      <c r="H829" s="5" t="n"/>
      <c r="I829" s="5" t="n"/>
    </row>
    <row r="830" ht="45" customHeight="1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</row>
    <row r="831" ht="45" customHeight="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</row>
    <row r="835">
      <c r="A835" s="9" t="inlineStr">
        <is>
          <t>IMO-AnswerBench | 5 - Olympiad math</t>
        </is>
      </c>
    </row>
    <row r="836">
      <c r="A836" s="10" t="inlineStr">
        <is>
          <t>Model</t>
        </is>
      </c>
      <c r="B836" s="10" t="inlineStr">
        <is>
          <t>Score</t>
        </is>
      </c>
      <c r="C836" s="10" t="inlineStr">
        <is>
          <t>Unit</t>
        </is>
      </c>
      <c r="D836" s="10" t="inlineStr">
        <is>
          <t>Source</t>
        </is>
      </c>
    </row>
    <row r="837">
      <c r="A837" t="inlineStr">
        <is>
          <t>Kimi K2.6</t>
        </is>
      </c>
      <c r="B837" t="n">
        <v>86</v>
      </c>
      <c r="C837" t="inlineStr">
        <is>
          <t>% pass</t>
        </is>
      </c>
      <c r="D837" t="inlineStr">
        <is>
          <t>Moonshot AI - Kimi K2.6 Hugging Face model card</t>
        </is>
      </c>
    </row>
    <row r="838">
      <c r="A838" t="inlineStr">
        <is>
          <t>DeepSeek V4-Pro Max</t>
        </is>
      </c>
      <c r="B838" t="n">
        <v>89.8</v>
      </c>
      <c r="C838" t="inlineStr">
        <is>
          <t>% pass</t>
        </is>
      </c>
      <c r="D838" t="inlineStr">
        <is>
          <t>DeepSeek - DeepSeek-V4-Pro Hugging Face model card</t>
        </is>
      </c>
    </row>
    <row r="839">
      <c r="A839" t="inlineStr">
        <is>
          <t>GLM-5.1</t>
        </is>
      </c>
      <c r="B839" t="n">
        <v>83.8</v>
      </c>
      <c r="C839" t="inlineStr">
        <is>
          <t>% pass</t>
        </is>
      </c>
      <c r="D839" t="inlineStr">
        <is>
          <t>NVIDIA NIM - GLM-5.1 model card</t>
        </is>
      </c>
    </row>
    <row r="847">
      <c r="A847" s="4" t="inlineStr">
        <is>
          <t>What is</t>
        </is>
      </c>
      <c r="B847" s="5" t="n"/>
      <c r="C847" s="5" t="n"/>
      <c r="D847" s="5" t="n"/>
      <c r="E847" s="5" t="n"/>
      <c r="F847" s="5" t="n"/>
      <c r="G847" s="5" t="n"/>
      <c r="H847" s="5" t="n"/>
      <c r="I847" s="5" t="n"/>
    </row>
    <row r="848" ht="45" customHeight="1">
      <c r="A848" s="11" t="inlineStr">
        <is>
          <t>Olympiad-style math answer evaluation.</t>
        </is>
      </c>
      <c r="B848" s="5" t="n"/>
      <c r="C848" s="5" t="n"/>
      <c r="D848" s="5" t="n"/>
      <c r="E848" s="5" t="n"/>
      <c r="F848" s="5" t="n"/>
      <c r="G848" s="5" t="n"/>
      <c r="H848" s="5" t="n"/>
      <c r="I848" s="5" t="n"/>
    </row>
    <row r="849" ht="45" customHeight="1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</row>
    <row r="850" ht="45" customHeight="1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</row>
    <row r="852">
      <c r="A852" s="4" t="inlineStr">
        <is>
          <t>Explain for 11</t>
        </is>
      </c>
      <c r="B852" s="5" t="n"/>
      <c r="C852" s="5" t="n"/>
      <c r="D852" s="5" t="n"/>
      <c r="E852" s="5" t="n"/>
      <c r="F852" s="5" t="n"/>
      <c r="G852" s="5" t="n"/>
      <c r="H852" s="5" t="n"/>
      <c r="I852" s="5" t="n"/>
    </row>
    <row r="853" ht="45" customHeight="1">
      <c r="A853" s="11" t="inlineStr">
        <is>
          <t>The AI faces math problems closer to world-championship puzzle level.</t>
        </is>
      </c>
      <c r="B853" s="5" t="n"/>
      <c r="C853" s="5" t="n"/>
      <c r="D853" s="5" t="n"/>
      <c r="E853" s="5" t="n"/>
      <c r="F853" s="5" t="n"/>
      <c r="G853" s="5" t="n"/>
      <c r="H853" s="5" t="n"/>
      <c r="I853" s="5" t="n"/>
    </row>
    <row r="854" ht="45" customHeight="1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</row>
    <row r="855" ht="45" customHeight="1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</row>
    <row r="857">
      <c r="A857" s="4" t="inlineStr">
        <is>
          <t>Top-score example</t>
        </is>
      </c>
      <c r="B857" s="5" t="n"/>
      <c r="C857" s="5" t="n"/>
      <c r="D857" s="5" t="n"/>
      <c r="E857" s="5" t="n"/>
      <c r="F857" s="5" t="n"/>
      <c r="G857" s="5" t="n"/>
      <c r="H857" s="5" t="n"/>
      <c r="I857" s="5" t="n"/>
    </row>
    <row r="858" ht="45" customHeight="1">
      <c r="A858" s="11" t="inlineStr">
        <is>
          <t>Top available score here: DeepSeek V4-Pro Max at 89.8 % pass. At that level, the model is solving proof-like olympiad math where exact reasoning matters.</t>
        </is>
      </c>
      <c r="B858" s="5" t="n"/>
      <c r="C858" s="5" t="n"/>
      <c r="D858" s="5" t="n"/>
      <c r="E858" s="5" t="n"/>
      <c r="F858" s="5" t="n"/>
      <c r="G858" s="5" t="n"/>
      <c r="H858" s="5" t="n"/>
      <c r="I858" s="5" t="n"/>
    </row>
    <row r="859" ht="45" customHeight="1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</row>
    <row r="860" ht="45" customHeight="1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</row>
    <row r="862">
      <c r="A862" s="4" t="inlineStr">
        <is>
          <t>Similar tests and differences</t>
        </is>
      </c>
      <c r="B862" s="5" t="n"/>
      <c r="C862" s="5" t="n"/>
      <c r="D862" s="5" t="n"/>
      <c r="E862" s="5" t="n"/>
      <c r="F862" s="5" t="n"/>
      <c r="G862" s="5" t="n"/>
      <c r="H862" s="5" t="n"/>
      <c r="I862" s="5" t="n"/>
    </row>
    <row r="863" ht="45" customHeight="1">
      <c r="A863" s="11" t="inlineStr">
        <is>
          <t>More proof/olympiad flavored than AIME or HMMT.</t>
        </is>
      </c>
      <c r="B863" s="5" t="n"/>
      <c r="C863" s="5" t="n"/>
      <c r="D863" s="5" t="n"/>
      <c r="E863" s="5" t="n"/>
      <c r="F863" s="5" t="n"/>
      <c r="G863" s="5" t="n"/>
      <c r="H863" s="5" t="n"/>
      <c r="I863" s="5" t="n"/>
    </row>
    <row r="864" ht="45" customHeight="1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</row>
    <row r="865" ht="45" customHeight="1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</row>
    <row r="869">
      <c r="A869" s="9" t="inlineStr">
        <is>
          <t>FrontierMath Tier 1-3 | 6 - Frontier math</t>
        </is>
      </c>
    </row>
    <row r="870">
      <c r="A870" s="10" t="inlineStr">
        <is>
          <t>Model</t>
        </is>
      </c>
      <c r="B870" s="10" t="inlineStr">
        <is>
          <t>Score</t>
        </is>
      </c>
      <c r="C870" s="10" t="inlineStr">
        <is>
          <t>Unit</t>
        </is>
      </c>
      <c r="D870" s="10" t="inlineStr">
        <is>
          <t>Source</t>
        </is>
      </c>
    </row>
    <row r="871">
      <c r="A871" t="inlineStr">
        <is>
          <t>ChatGPT 5.5</t>
        </is>
      </c>
      <c r="B871" t="n">
        <v>51.7</v>
      </c>
      <c r="C871" t="inlineStr">
        <is>
          <t>% pass</t>
        </is>
      </c>
      <c r="D871" t="inlineStr">
        <is>
          <t>OpenAI - Introducing GPT-5.5</t>
        </is>
      </c>
    </row>
    <row r="872">
      <c r="A872" t="inlineStr">
        <is>
          <t>Claude Opus 4.7</t>
        </is>
      </c>
      <c r="B872" t="n">
        <v>43.8</v>
      </c>
      <c r="C872" t="inlineStr">
        <is>
          <t>% pass</t>
        </is>
      </c>
      <c r="D872" t="inlineStr">
        <is>
          <t>OpenAI - Introducing GPT-5.5</t>
        </is>
      </c>
    </row>
    <row r="881">
      <c r="A881" s="4" t="inlineStr">
        <is>
          <t>What is</t>
        </is>
      </c>
      <c r="B881" s="5" t="n"/>
      <c r="C881" s="5" t="n"/>
      <c r="D881" s="5" t="n"/>
      <c r="E881" s="5" t="n"/>
      <c r="F881" s="5" t="n"/>
      <c r="G881" s="5" t="n"/>
      <c r="H881" s="5" t="n"/>
      <c r="I881" s="5" t="n"/>
    </row>
    <row r="882" ht="45" customHeight="1">
      <c r="A882" s="11" t="inlineStr">
        <is>
          <t>Very hard frontier math problems where current models still miss many.</t>
        </is>
      </c>
      <c r="B882" s="5" t="n"/>
      <c r="C882" s="5" t="n"/>
      <c r="D882" s="5" t="n"/>
      <c r="E882" s="5" t="n"/>
      <c r="F882" s="5" t="n"/>
      <c r="G882" s="5" t="n"/>
      <c r="H882" s="5" t="n"/>
      <c r="I882" s="5" t="n"/>
    </row>
    <row r="883" ht="45" customHeight="1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</row>
    <row r="884" ht="45" customHeight="1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</row>
    <row r="886">
      <c r="A886" s="4" t="inlineStr">
        <is>
          <t>Explain for 11</t>
        </is>
      </c>
      <c r="B886" s="5" t="n"/>
      <c r="C886" s="5" t="n"/>
      <c r="D886" s="5" t="n"/>
      <c r="E886" s="5" t="n"/>
      <c r="F886" s="5" t="n"/>
      <c r="G886" s="5" t="n"/>
      <c r="H886" s="5" t="n"/>
      <c r="I886" s="5" t="n"/>
    </row>
    <row r="887" ht="45" customHeight="1">
      <c r="A887" s="11" t="inlineStr">
        <is>
          <t>Math puzzles so hard that even top AIs do not reliably solve them.</t>
        </is>
      </c>
      <c r="B887" s="5" t="n"/>
      <c r="C887" s="5" t="n"/>
      <c r="D887" s="5" t="n"/>
      <c r="E887" s="5" t="n"/>
      <c r="F887" s="5" t="n"/>
      <c r="G887" s="5" t="n"/>
      <c r="H887" s="5" t="n"/>
      <c r="I887" s="5" t="n"/>
    </row>
    <row r="888" ht="45" customHeight="1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</row>
    <row r="889" ht="45" customHeight="1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</row>
    <row r="891">
      <c r="A891" s="4" t="inlineStr">
        <is>
          <t>Top-score example</t>
        </is>
      </c>
      <c r="B891" s="5" t="n"/>
      <c r="C891" s="5" t="n"/>
      <c r="D891" s="5" t="n"/>
      <c r="E891" s="5" t="n"/>
      <c r="F891" s="5" t="n"/>
      <c r="G891" s="5" t="n"/>
      <c r="H891" s="5" t="n"/>
      <c r="I891" s="5" t="n"/>
    </row>
    <row r="892" ht="45" customHeight="1">
      <c r="A892" s="11" t="inlineStr">
        <is>
          <t>Top available score here: ChatGPT 5.5 at 51.7 % pass. At that level, the model is solving research-flavored math requiring deep chains of reasoning.</t>
        </is>
      </c>
      <c r="B892" s="5" t="n"/>
      <c r="C892" s="5" t="n"/>
      <c r="D892" s="5" t="n"/>
      <c r="E892" s="5" t="n"/>
      <c r="F892" s="5" t="n"/>
      <c r="G892" s="5" t="n"/>
      <c r="H892" s="5" t="n"/>
      <c r="I892" s="5" t="n"/>
    </row>
    <row r="893" ht="45" customHeight="1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</row>
    <row r="894" ht="45" customHeight="1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</row>
    <row r="896">
      <c r="A896" s="4" t="inlineStr">
        <is>
          <t>Similar tests and differences</t>
        </is>
      </c>
      <c r="B896" s="5" t="n"/>
      <c r="C896" s="5" t="n"/>
      <c r="D896" s="5" t="n"/>
      <c r="E896" s="5" t="n"/>
      <c r="F896" s="5" t="n"/>
      <c r="G896" s="5" t="n"/>
      <c r="H896" s="5" t="n"/>
      <c r="I896" s="5" t="n"/>
    </row>
    <row r="897" ht="45" customHeight="1">
      <c r="A897" s="11" t="inlineStr">
        <is>
          <t>Harder than AIME/HMMT/IMO-style answer sets.</t>
        </is>
      </c>
      <c r="B897" s="5" t="n"/>
      <c r="C897" s="5" t="n"/>
      <c r="D897" s="5" t="n"/>
      <c r="E897" s="5" t="n"/>
      <c r="F897" s="5" t="n"/>
      <c r="G897" s="5" t="n"/>
      <c r="H897" s="5" t="n"/>
      <c r="I897" s="5" t="n"/>
    </row>
    <row r="898" ht="45" customHeight="1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</row>
    <row r="899" ht="45" customHeight="1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</row>
    <row r="903">
      <c r="A903" s="9" t="inlineStr">
        <is>
          <t>FrontierMath Tier 4 | 6 - Frontier math</t>
        </is>
      </c>
    </row>
    <row r="904">
      <c r="A904" s="10" t="inlineStr">
        <is>
          <t>Model</t>
        </is>
      </c>
      <c r="B904" s="10" t="inlineStr">
        <is>
          <t>Score</t>
        </is>
      </c>
      <c r="C904" s="10" t="inlineStr">
        <is>
          <t>Unit</t>
        </is>
      </c>
      <c r="D904" s="10" t="inlineStr">
        <is>
          <t>Source</t>
        </is>
      </c>
    </row>
    <row r="905">
      <c r="A905" t="inlineStr">
        <is>
          <t>ChatGPT 5.5</t>
        </is>
      </c>
      <c r="B905" t="n">
        <v>35.4</v>
      </c>
      <c r="C905" t="inlineStr">
        <is>
          <t>% pass</t>
        </is>
      </c>
      <c r="D905" t="inlineStr">
        <is>
          <t>OpenAI - Introducing GPT-5.5</t>
        </is>
      </c>
    </row>
    <row r="906">
      <c r="A906" t="inlineStr">
        <is>
          <t>Claude Opus 4.7</t>
        </is>
      </c>
      <c r="B906" t="n">
        <v>22.9</v>
      </c>
      <c r="C906" t="inlineStr">
        <is>
          <t>% pass</t>
        </is>
      </c>
      <c r="D906" t="inlineStr">
        <is>
          <t>OpenAI - Introducing GPT-5.5</t>
        </is>
      </c>
    </row>
    <row r="915">
      <c r="A915" s="4" t="inlineStr">
        <is>
          <t>What is</t>
        </is>
      </c>
      <c r="B915" s="5" t="n"/>
      <c r="C915" s="5" t="n"/>
      <c r="D915" s="5" t="n"/>
      <c r="E915" s="5" t="n"/>
      <c r="F915" s="5" t="n"/>
      <c r="G915" s="5" t="n"/>
      <c r="H915" s="5" t="n"/>
      <c r="I915" s="5" t="n"/>
    </row>
    <row r="916" ht="45" customHeight="1">
      <c r="A916" s="11" t="inlineStr">
        <is>
          <t>The harder FrontierMath tier.</t>
        </is>
      </c>
      <c r="B916" s="5" t="n"/>
      <c r="C916" s="5" t="n"/>
      <c r="D916" s="5" t="n"/>
      <c r="E916" s="5" t="n"/>
      <c r="F916" s="5" t="n"/>
      <c r="G916" s="5" t="n"/>
      <c r="H916" s="5" t="n"/>
      <c r="I916" s="5" t="n"/>
    </row>
    <row r="917" ht="45" customHeight="1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</row>
    <row r="918" ht="45" customHeight="1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</row>
    <row r="920">
      <c r="A920" s="4" t="inlineStr">
        <is>
          <t>Explain for 11</t>
        </is>
      </c>
      <c r="B920" s="5" t="n"/>
      <c r="C920" s="5" t="n"/>
      <c r="D920" s="5" t="n"/>
      <c r="E920" s="5" t="n"/>
      <c r="F920" s="5" t="n"/>
      <c r="G920" s="5" t="n"/>
      <c r="H920" s="5" t="n"/>
      <c r="I920" s="5" t="n"/>
    </row>
    <row r="921" ht="45" customHeight="1">
      <c r="A921" s="11" t="inlineStr">
        <is>
          <t>The boss level of the math ladder in this report.</t>
        </is>
      </c>
      <c r="B921" s="5" t="n"/>
      <c r="C921" s="5" t="n"/>
      <c r="D921" s="5" t="n"/>
      <c r="E921" s="5" t="n"/>
      <c r="F921" s="5" t="n"/>
      <c r="G921" s="5" t="n"/>
      <c r="H921" s="5" t="n"/>
      <c r="I921" s="5" t="n"/>
    </row>
    <row r="922" ht="45" customHeight="1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</row>
    <row r="923" ht="45" customHeight="1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</row>
    <row r="925">
      <c r="A925" s="4" t="inlineStr">
        <is>
          <t>Top-score example</t>
        </is>
      </c>
      <c r="B925" s="5" t="n"/>
      <c r="C925" s="5" t="n"/>
      <c r="D925" s="5" t="n"/>
      <c r="E925" s="5" t="n"/>
      <c r="F925" s="5" t="n"/>
      <c r="G925" s="5" t="n"/>
      <c r="H925" s="5" t="n"/>
      <c r="I925" s="5" t="n"/>
    </row>
    <row r="926" ht="45" customHeight="1">
      <c r="A926" s="11" t="inlineStr">
        <is>
          <t>Top available score here: ChatGPT 5.5 at 35.4 % pass. At that level, the model is solving the most difficult frontier math items in the source set.</t>
        </is>
      </c>
      <c r="B926" s="5" t="n"/>
      <c r="C926" s="5" t="n"/>
      <c r="D926" s="5" t="n"/>
      <c r="E926" s="5" t="n"/>
      <c r="F926" s="5" t="n"/>
      <c r="G926" s="5" t="n"/>
      <c r="H926" s="5" t="n"/>
      <c r="I926" s="5" t="n"/>
    </row>
    <row r="927" ht="45" customHeight="1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</row>
    <row r="928" ht="45" customHeight="1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</row>
    <row r="930">
      <c r="A930" s="4" t="inlineStr">
        <is>
          <t>Similar tests and differences</t>
        </is>
      </c>
      <c r="B930" s="5" t="n"/>
      <c r="C930" s="5" t="n"/>
      <c r="D930" s="5" t="n"/>
      <c r="E930" s="5" t="n"/>
      <c r="F930" s="5" t="n"/>
      <c r="G930" s="5" t="n"/>
      <c r="H930" s="5" t="n"/>
      <c r="I930" s="5" t="n"/>
    </row>
    <row r="931" ht="45" customHeight="1">
      <c r="A931" s="11" t="inlineStr">
        <is>
          <t>Harder than FrontierMath Tier 1-3.</t>
        </is>
      </c>
      <c r="B931" s="5" t="n"/>
      <c r="C931" s="5" t="n"/>
      <c r="D931" s="5" t="n"/>
      <c r="E931" s="5" t="n"/>
      <c r="F931" s="5" t="n"/>
      <c r="G931" s="5" t="n"/>
      <c r="H931" s="5" t="n"/>
      <c r="I931" s="5" t="n"/>
    </row>
    <row r="932" ht="45" customHeight="1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</row>
    <row r="933" ht="45" customHeight="1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</row>
    <row r="937">
      <c r="A937" s="9" t="inlineStr">
        <is>
          <t>HLE | 6 - Broad frontier exam</t>
        </is>
      </c>
    </row>
    <row r="938">
      <c r="A938" s="10" t="inlineStr">
        <is>
          <t>Model</t>
        </is>
      </c>
      <c r="B938" s="10" t="inlineStr">
        <is>
          <t>Score</t>
        </is>
      </c>
      <c r="C938" s="10" t="inlineStr">
        <is>
          <t>Unit</t>
        </is>
      </c>
      <c r="D938" s="10" t="inlineStr">
        <is>
          <t>Source</t>
        </is>
      </c>
    </row>
    <row r="939">
      <c r="A939" t="inlineStr">
        <is>
          <t>Kimi K2.6</t>
        </is>
      </c>
      <c r="B939" t="n">
        <v>34.7</v>
      </c>
      <c r="C939" t="inlineStr">
        <is>
          <t>% pass</t>
        </is>
      </c>
      <c r="D939" t="inlineStr">
        <is>
          <t>Moonshot AI - Kimi K2.6 Hugging Face model card</t>
        </is>
      </c>
    </row>
    <row r="940">
      <c r="A940" t="inlineStr">
        <is>
          <t>DeepSeek V4-Pro Max</t>
        </is>
      </c>
      <c r="B940" t="n">
        <v>37.7</v>
      </c>
      <c r="C940" t="inlineStr">
        <is>
          <t>% pass</t>
        </is>
      </c>
      <c r="D940" t="inlineStr">
        <is>
          <t>DeepSeek - DeepSeek-V4-Pro Hugging Face model card</t>
        </is>
      </c>
    </row>
    <row r="941">
      <c r="A941" t="inlineStr">
        <is>
          <t>GLM-5.1</t>
        </is>
      </c>
      <c r="B941" t="n">
        <v>31</v>
      </c>
      <c r="C941" t="inlineStr">
        <is>
          <t>% pass</t>
        </is>
      </c>
      <c r="D941" t="inlineStr">
        <is>
          <t>NVIDIA NIM - GLM-5.1 model card</t>
        </is>
      </c>
    </row>
    <row r="949">
      <c r="A949" s="4" t="inlineStr">
        <is>
          <t>What is</t>
        </is>
      </c>
      <c r="B949" s="5" t="n"/>
      <c r="C949" s="5" t="n"/>
      <c r="D949" s="5" t="n"/>
      <c r="E949" s="5" t="n"/>
      <c r="F949" s="5" t="n"/>
      <c r="G949" s="5" t="n"/>
      <c r="H949" s="5" t="n"/>
      <c r="I949" s="5" t="n"/>
    </row>
    <row r="950" ht="45" customHeight="1">
      <c r="A950" s="11" t="inlineStr">
        <is>
          <t>Humanity's Last Exam: broad, very difficult knowledge and reasoning.</t>
        </is>
      </c>
      <c r="B950" s="5" t="n"/>
      <c r="C950" s="5" t="n"/>
      <c r="D950" s="5" t="n"/>
      <c r="E950" s="5" t="n"/>
      <c r="F950" s="5" t="n"/>
      <c r="G950" s="5" t="n"/>
      <c r="H950" s="5" t="n"/>
      <c r="I950" s="5" t="n"/>
    </row>
    <row r="951" ht="45" customHeight="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</row>
    <row r="952" ht="45" customHeight="1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</row>
    <row r="954">
      <c r="A954" s="4" t="inlineStr">
        <is>
          <t>Explain for 11</t>
        </is>
      </c>
      <c r="B954" s="5" t="n"/>
      <c r="C954" s="5" t="n"/>
      <c r="D954" s="5" t="n"/>
      <c r="E954" s="5" t="n"/>
      <c r="F954" s="5" t="n"/>
      <c r="G954" s="5" t="n"/>
      <c r="H954" s="5" t="n"/>
      <c r="I954" s="5" t="n"/>
    </row>
    <row r="955" ht="45" customHeight="1">
      <c r="A955" s="11" t="inlineStr">
        <is>
          <t>A giant final exam with questions from many expert fields.</t>
        </is>
      </c>
      <c r="B955" s="5" t="n"/>
      <c r="C955" s="5" t="n"/>
      <c r="D955" s="5" t="n"/>
      <c r="E955" s="5" t="n"/>
      <c r="F955" s="5" t="n"/>
      <c r="G955" s="5" t="n"/>
      <c r="H955" s="5" t="n"/>
      <c r="I955" s="5" t="n"/>
    </row>
    <row r="956" ht="45" customHeight="1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</row>
    <row r="957" ht="45" customHeight="1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</row>
    <row r="959">
      <c r="A959" s="4" t="inlineStr">
        <is>
          <t>Top-score example</t>
        </is>
      </c>
      <c r="B959" s="5" t="n"/>
      <c r="C959" s="5" t="n"/>
      <c r="D959" s="5" t="n"/>
      <c r="E959" s="5" t="n"/>
      <c r="F959" s="5" t="n"/>
      <c r="G959" s="5" t="n"/>
      <c r="H959" s="5" t="n"/>
      <c r="I959" s="5" t="n"/>
    </row>
    <row r="960" ht="45" customHeight="1">
      <c r="A960" s="11" t="inlineStr">
        <is>
          <t>Top available score here: DeepSeek V4-Pro Max at 37.7 % pass. At that level, the model is solving hard science, humanities, and reasoning questions beyond normal exams.</t>
        </is>
      </c>
      <c r="B960" s="5" t="n"/>
      <c r="C960" s="5" t="n"/>
      <c r="D960" s="5" t="n"/>
      <c r="E960" s="5" t="n"/>
      <c r="F960" s="5" t="n"/>
      <c r="G960" s="5" t="n"/>
      <c r="H960" s="5" t="n"/>
      <c r="I960" s="5" t="n"/>
    </row>
    <row r="961" ht="45" customHeight="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</row>
    <row r="962" ht="45" customHeight="1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</row>
    <row r="964">
      <c r="A964" s="4" t="inlineStr">
        <is>
          <t>Similar tests and differences</t>
        </is>
      </c>
      <c r="B964" s="5" t="n"/>
      <c r="C964" s="5" t="n"/>
      <c r="D964" s="5" t="n"/>
      <c r="E964" s="5" t="n"/>
      <c r="F964" s="5" t="n"/>
      <c r="G964" s="5" t="n"/>
      <c r="H964" s="5" t="n"/>
      <c r="I964" s="5" t="n"/>
    </row>
    <row r="965" ht="45" customHeight="1">
      <c r="A965" s="11" t="inlineStr">
        <is>
          <t>Broader than GPQA; not limited to math.</t>
        </is>
      </c>
      <c r="B965" s="5" t="n"/>
      <c r="C965" s="5" t="n"/>
      <c r="D965" s="5" t="n"/>
      <c r="E965" s="5" t="n"/>
      <c r="F965" s="5" t="n"/>
      <c r="G965" s="5" t="n"/>
      <c r="H965" s="5" t="n"/>
      <c r="I965" s="5" t="n"/>
    </row>
    <row r="966" ht="45" customHeight="1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</row>
    <row r="967" ht="45" customHeight="1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</row>
    <row r="971">
      <c r="A971" s="9" t="inlineStr">
        <is>
          <t>HLE w/ tools | 6 - Broad frontier with tools</t>
        </is>
      </c>
    </row>
    <row r="972">
      <c r="A972" s="10" t="inlineStr">
        <is>
          <t>Model</t>
        </is>
      </c>
      <c r="B972" s="10" t="inlineStr">
        <is>
          <t>Score</t>
        </is>
      </c>
      <c r="C972" s="10" t="inlineStr">
        <is>
          <t>Unit</t>
        </is>
      </c>
      <c r="D972" s="10" t="inlineStr">
        <is>
          <t>Source</t>
        </is>
      </c>
    </row>
    <row r="973">
      <c r="A973" t="inlineStr">
        <is>
          <t>Claude Opus 4.7</t>
        </is>
      </c>
      <c r="B973" t="n">
        <v>54.7</v>
      </c>
      <c r="C973" t="inlineStr">
        <is>
          <t>% pass</t>
        </is>
      </c>
      <c r="D973" t="inlineStr">
        <is>
          <t>Hokai - Claude Opus 4.7 benchmark summary</t>
        </is>
      </c>
    </row>
    <row r="974">
      <c r="A974" t="inlineStr">
        <is>
          <t>Kimi K2.6</t>
        </is>
      </c>
      <c r="B974" t="n">
        <v>54</v>
      </c>
      <c r="C974" t="inlineStr">
        <is>
          <t>% pass</t>
        </is>
      </c>
      <c r="D974" t="inlineStr">
        <is>
          <t>Moonshot AI - Kimi K2.6 Hugging Face model card</t>
        </is>
      </c>
    </row>
    <row r="975">
      <c r="A975" t="inlineStr">
        <is>
          <t>DeepSeek V4-Pro Max</t>
        </is>
      </c>
      <c r="B975" t="n">
        <v>48.2</v>
      </c>
      <c r="C975" t="inlineStr">
        <is>
          <t>% pass</t>
        </is>
      </c>
      <c r="D975" t="inlineStr">
        <is>
          <t>DeepSeek - DeepSeek-V4-Pro Hugging Face model card</t>
        </is>
      </c>
    </row>
    <row r="976">
      <c r="A976" t="inlineStr">
        <is>
          <t>GLM-5.1</t>
        </is>
      </c>
      <c r="B976" t="n">
        <v>52.3</v>
      </c>
      <c r="C976" t="inlineStr">
        <is>
          <t>% pass</t>
        </is>
      </c>
      <c r="D976" t="inlineStr">
        <is>
          <t>NVIDIA NIM - GLM-5.1 model card</t>
        </is>
      </c>
    </row>
    <row r="983">
      <c r="A983" s="4" t="inlineStr">
        <is>
          <t>What is</t>
        </is>
      </c>
      <c r="B983" s="5" t="n"/>
      <c r="C983" s="5" t="n"/>
      <c r="D983" s="5" t="n"/>
      <c r="E983" s="5" t="n"/>
      <c r="F983" s="5" t="n"/>
      <c r="G983" s="5" t="n"/>
      <c r="H983" s="5" t="n"/>
      <c r="I983" s="5" t="n"/>
    </row>
    <row r="984" ht="45" customHeight="1">
      <c r="A984" s="11" t="inlineStr">
        <is>
          <t>Humanity's Last Exam with allowed external tools.</t>
        </is>
      </c>
      <c r="B984" s="5" t="n"/>
      <c r="C984" s="5" t="n"/>
      <c r="D984" s="5" t="n"/>
      <c r="E984" s="5" t="n"/>
      <c r="F984" s="5" t="n"/>
      <c r="G984" s="5" t="n"/>
      <c r="H984" s="5" t="n"/>
      <c r="I984" s="5" t="n"/>
    </row>
    <row r="985" ht="45" customHeight="1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</row>
    <row r="986" ht="45" customHeight="1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</row>
    <row r="988">
      <c r="A988" s="4" t="inlineStr">
        <is>
          <t>Explain for 11</t>
        </is>
      </c>
      <c r="B988" s="5" t="n"/>
      <c r="C988" s="5" t="n"/>
      <c r="D988" s="5" t="n"/>
      <c r="E988" s="5" t="n"/>
      <c r="F988" s="5" t="n"/>
      <c r="G988" s="5" t="n"/>
      <c r="H988" s="5" t="n"/>
      <c r="I988" s="5" t="n"/>
    </row>
    <row r="989" ht="45" customHeight="1">
      <c r="A989" s="11" t="inlineStr">
        <is>
          <t>The same giant exam, but the AI can use tools like search or code.</t>
        </is>
      </c>
      <c r="B989" s="5" t="n"/>
      <c r="C989" s="5" t="n"/>
      <c r="D989" s="5" t="n"/>
      <c r="E989" s="5" t="n"/>
      <c r="F989" s="5" t="n"/>
      <c r="G989" s="5" t="n"/>
      <c r="H989" s="5" t="n"/>
      <c r="I989" s="5" t="n"/>
    </row>
    <row r="990" ht="45" customHeight="1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</row>
    <row r="991" ht="45" customHeight="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</row>
    <row r="993">
      <c r="A993" s="4" t="inlineStr">
        <is>
          <t>Top-score example</t>
        </is>
      </c>
      <c r="B993" s="5" t="n"/>
      <c r="C993" s="5" t="n"/>
      <c r="D993" s="5" t="n"/>
      <c r="E993" s="5" t="n"/>
      <c r="F993" s="5" t="n"/>
      <c r="G993" s="5" t="n"/>
      <c r="H993" s="5" t="n"/>
      <c r="I993" s="5" t="n"/>
    </row>
    <row r="994" ht="45" customHeight="1">
      <c r="A994" s="11" t="inlineStr">
        <is>
          <t>Top available score here: Claude Opus 4.7 at 54.7 % pass. At that level, the model is solving hard expert questions plus tool choice and research.</t>
        </is>
      </c>
      <c r="B994" s="5" t="n"/>
      <c r="C994" s="5" t="n"/>
      <c r="D994" s="5" t="n"/>
      <c r="E994" s="5" t="n"/>
      <c r="F994" s="5" t="n"/>
      <c r="G994" s="5" t="n"/>
      <c r="H994" s="5" t="n"/>
      <c r="I994" s="5" t="n"/>
    </row>
    <row r="995" ht="45" customHeight="1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</row>
    <row r="996" ht="45" customHeight="1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</row>
    <row r="998">
      <c r="A998" s="4" t="inlineStr">
        <is>
          <t>Similar tests and differences</t>
        </is>
      </c>
      <c r="B998" s="5" t="n"/>
      <c r="C998" s="5" t="n"/>
      <c r="D998" s="5" t="n"/>
      <c r="E998" s="5" t="n"/>
      <c r="F998" s="5" t="n"/>
      <c r="G998" s="5" t="n"/>
      <c r="H998" s="5" t="n"/>
      <c r="I998" s="5" t="n"/>
    </row>
    <row r="999" ht="45" customHeight="1">
      <c r="A999" s="11" t="inlineStr">
        <is>
          <t>Tool access makes it different from plain HLE.</t>
        </is>
      </c>
      <c r="B999" s="5" t="n"/>
      <c r="C999" s="5" t="n"/>
      <c r="D999" s="5" t="n"/>
      <c r="E999" s="5" t="n"/>
      <c r="F999" s="5" t="n"/>
      <c r="G999" s="5" t="n"/>
      <c r="H999" s="5" t="n"/>
      <c r="I999" s="5" t="n"/>
    </row>
    <row r="1000" ht="45" customHeight="1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</row>
    <row r="1001" ht="45" customHeight="1">
      <c r="A1001" s="5" t="n"/>
      <c r="B1001" s="5" t="n"/>
      <c r="C1001" s="5" t="n"/>
      <c r="D1001" s="5" t="n"/>
      <c r="E1001" s="5" t="n"/>
      <c r="F1001" s="5" t="n"/>
      <c r="G1001" s="5" t="n"/>
      <c r="H1001" s="5" t="n"/>
      <c r="I1001" s="5" t="n"/>
    </row>
    <row r="1005">
      <c r="A1005" s="9" t="inlineStr">
        <is>
          <t>ARC-AGI-2 Verified | 6 - Abstract reasoning</t>
        </is>
      </c>
    </row>
    <row r="1006">
      <c r="A1006" s="10" t="inlineStr">
        <is>
          <t>Model</t>
        </is>
      </c>
      <c r="B1006" s="10" t="inlineStr">
        <is>
          <t>Score</t>
        </is>
      </c>
      <c r="C1006" s="10" t="inlineStr">
        <is>
          <t>Unit</t>
        </is>
      </c>
      <c r="D1006" s="10" t="inlineStr">
        <is>
          <t>Source</t>
        </is>
      </c>
    </row>
    <row r="1007">
      <c r="A1007" t="inlineStr">
        <is>
          <t>No comparable public score in the current source set.</t>
        </is>
      </c>
    </row>
    <row r="1013">
      <c r="A1013" s="4" t="inlineStr">
        <is>
          <t>What is</t>
        </is>
      </c>
      <c r="B1013" s="5" t="n"/>
      <c r="C1013" s="5" t="n"/>
      <c r="D1013" s="5" t="n"/>
      <c r="E1013" s="5" t="n"/>
      <c r="F1013" s="5" t="n"/>
      <c r="G1013" s="5" t="n"/>
      <c r="H1013" s="5" t="n"/>
      <c r="I1013" s="5" t="n"/>
    </row>
    <row r="1014" ht="45" customHeight="1">
      <c r="A1014" s="11" t="inlineStr">
        <is>
          <t>A verified version of ARC-AGI-2, focused on abstract pattern reasoning.</t>
        </is>
      </c>
      <c r="B1014" s="5" t="n"/>
      <c r="C1014" s="5" t="n"/>
      <c r="D1014" s="5" t="n"/>
      <c r="E1014" s="5" t="n"/>
      <c r="F1014" s="5" t="n"/>
      <c r="G1014" s="5" t="n"/>
      <c r="H1014" s="5" t="n"/>
      <c r="I1014" s="5" t="n"/>
    </row>
    <row r="1015" ht="45" customHeight="1">
      <c r="A1015" s="5" t="n"/>
      <c r="B1015" s="5" t="n"/>
      <c r="C1015" s="5" t="n"/>
      <c r="D1015" s="5" t="n"/>
      <c r="E1015" s="5" t="n"/>
      <c r="F1015" s="5" t="n"/>
      <c r="G1015" s="5" t="n"/>
      <c r="H1015" s="5" t="n"/>
      <c r="I1015" s="5" t="n"/>
    </row>
    <row r="1016" ht="45" customHeight="1">
      <c r="A1016" s="5" t="n"/>
      <c r="B1016" s="5" t="n"/>
      <c r="C1016" s="5" t="n"/>
      <c r="D1016" s="5" t="n"/>
      <c r="E1016" s="5" t="n"/>
      <c r="F1016" s="5" t="n"/>
      <c r="G1016" s="5" t="n"/>
      <c r="H1016" s="5" t="n"/>
      <c r="I1016" s="5" t="n"/>
    </row>
    <row r="1018">
      <c r="A1018" s="4" t="inlineStr">
        <is>
          <t>Explain for 11</t>
        </is>
      </c>
      <c r="B1018" s="5" t="n"/>
      <c r="C1018" s="5" t="n"/>
      <c r="D1018" s="5" t="n"/>
      <c r="E1018" s="5" t="n"/>
      <c r="F1018" s="5" t="n"/>
      <c r="G1018" s="5" t="n"/>
      <c r="H1018" s="5" t="n"/>
      <c r="I1018" s="5" t="n"/>
    </row>
    <row r="1019" ht="45" customHeight="1">
      <c r="A1019" s="11" t="inlineStr">
        <is>
          <t>Colored-grid puzzles where the AI must notice the hidden rule from examples.</t>
        </is>
      </c>
      <c r="B1019" s="5" t="n"/>
      <c r="C1019" s="5" t="n"/>
      <c r="D1019" s="5" t="n"/>
      <c r="E1019" s="5" t="n"/>
      <c r="F1019" s="5" t="n"/>
      <c r="G1019" s="5" t="n"/>
      <c r="H1019" s="5" t="n"/>
      <c r="I1019" s="5" t="n"/>
    </row>
    <row r="1020" ht="45" customHeight="1">
      <c r="A1020" s="5" t="n"/>
      <c r="B1020" s="5" t="n"/>
      <c r="C1020" s="5" t="n"/>
      <c r="D1020" s="5" t="n"/>
      <c r="E1020" s="5" t="n"/>
      <c r="F1020" s="5" t="n"/>
      <c r="G1020" s="5" t="n"/>
      <c r="H1020" s="5" t="n"/>
      <c r="I1020" s="5" t="n"/>
    </row>
    <row r="1021" ht="45" customHeight="1">
      <c r="A1021" s="5" t="n"/>
      <c r="B1021" s="5" t="n"/>
      <c r="C1021" s="5" t="n"/>
      <c r="D1021" s="5" t="n"/>
      <c r="E1021" s="5" t="n"/>
      <c r="F1021" s="5" t="n"/>
      <c r="G1021" s="5" t="n"/>
      <c r="H1021" s="5" t="n"/>
      <c r="I1021" s="5" t="n"/>
    </row>
    <row r="1023">
      <c r="A1023" s="4" t="inlineStr">
        <is>
          <t>Top-score example</t>
        </is>
      </c>
      <c r="B1023" s="5" t="n"/>
      <c r="C1023" s="5" t="n"/>
      <c r="D1023" s="5" t="n"/>
      <c r="E1023" s="5" t="n"/>
      <c r="F1023" s="5" t="n"/>
      <c r="G1023" s="5" t="n"/>
      <c r="H1023" s="5" t="n"/>
      <c r="I1023" s="5" t="n"/>
    </row>
    <row r="1024" ht="45" customHeight="1">
      <c r="A1024" s="11" t="inlineStr">
        <is>
          <t>No comparable public score is recorded in this workbook yet. The guide entry is included so you can track it when a model card or leaderboard publishes scores.</t>
        </is>
      </c>
      <c r="B1024" s="5" t="n"/>
      <c r="C1024" s="5" t="n"/>
      <c r="D1024" s="5" t="n"/>
      <c r="E1024" s="5" t="n"/>
      <c r="F1024" s="5" t="n"/>
      <c r="G1024" s="5" t="n"/>
      <c r="H1024" s="5" t="n"/>
      <c r="I1024" s="5" t="n"/>
    </row>
    <row r="1025" ht="45" customHeight="1">
      <c r="A1025" s="5" t="n"/>
      <c r="B1025" s="5" t="n"/>
      <c r="C1025" s="5" t="n"/>
      <c r="D1025" s="5" t="n"/>
      <c r="E1025" s="5" t="n"/>
      <c r="F1025" s="5" t="n"/>
      <c r="G1025" s="5" t="n"/>
      <c r="H1025" s="5" t="n"/>
      <c r="I1025" s="5" t="n"/>
    </row>
    <row r="1026" ht="45" customHeight="1">
      <c r="A1026" s="5" t="n"/>
      <c r="B1026" s="5" t="n"/>
      <c r="C1026" s="5" t="n"/>
      <c r="D1026" s="5" t="n"/>
      <c r="E1026" s="5" t="n"/>
      <c r="F1026" s="5" t="n"/>
      <c r="G1026" s="5" t="n"/>
      <c r="H1026" s="5" t="n"/>
      <c r="I1026" s="5" t="n"/>
    </row>
    <row r="1028">
      <c r="A1028" s="4" t="inlineStr">
        <is>
          <t>Similar tests and differences</t>
        </is>
      </c>
      <c r="B1028" s="5" t="n"/>
      <c r="C1028" s="5" t="n"/>
      <c r="D1028" s="5" t="n"/>
      <c r="E1028" s="5" t="n"/>
      <c r="F1028" s="5" t="n"/>
      <c r="G1028" s="5" t="n"/>
      <c r="H1028" s="5" t="n"/>
      <c r="I1028" s="5" t="n"/>
    </row>
    <row r="1029" ht="45" customHeight="1">
      <c r="A1029" s="11" t="inlineStr">
        <is>
          <t>Different from knowledge tests: memorized facts do not help much.</t>
        </is>
      </c>
      <c r="B1029" s="5" t="n"/>
      <c r="C1029" s="5" t="n"/>
      <c r="D1029" s="5" t="n"/>
      <c r="E1029" s="5" t="n"/>
      <c r="F1029" s="5" t="n"/>
      <c r="G1029" s="5" t="n"/>
      <c r="H1029" s="5" t="n"/>
      <c r="I1029" s="5" t="n"/>
    </row>
    <row r="1030" ht="45" customHeight="1">
      <c r="A1030" s="5" t="n"/>
      <c r="B1030" s="5" t="n"/>
      <c r="C1030" s="5" t="n"/>
      <c r="D1030" s="5" t="n"/>
      <c r="E1030" s="5" t="n"/>
      <c r="F1030" s="5" t="n"/>
      <c r="G1030" s="5" t="n"/>
      <c r="H1030" s="5" t="n"/>
      <c r="I1030" s="5" t="n"/>
    </row>
    <row r="1031" ht="45" customHeight="1">
      <c r="A1031" s="5" t="n"/>
      <c r="B1031" s="5" t="n"/>
      <c r="C1031" s="5" t="n"/>
      <c r="D1031" s="5" t="n"/>
      <c r="E1031" s="5" t="n"/>
      <c r="F1031" s="5" t="n"/>
      <c r="G1031" s="5" t="n"/>
      <c r="H1031" s="5" t="n"/>
      <c r="I1031" s="5" t="n"/>
    </row>
    <row r="1035">
      <c r="A1035" s="9" t="inlineStr">
        <is>
          <t>GDPval | 3 - Professional work</t>
        </is>
      </c>
    </row>
    <row r="1036">
      <c r="A1036" s="10" t="inlineStr">
        <is>
          <t>Model</t>
        </is>
      </c>
      <c r="B1036" s="10" t="inlineStr">
        <is>
          <t>Score</t>
        </is>
      </c>
      <c r="C1036" s="10" t="inlineStr">
        <is>
          <t>Unit</t>
        </is>
      </c>
      <c r="D1036" s="10" t="inlineStr">
        <is>
          <t>Source</t>
        </is>
      </c>
    </row>
    <row r="1037">
      <c r="A1037" t="inlineStr">
        <is>
          <t>ChatGPT 5.5</t>
        </is>
      </c>
      <c r="B1037" t="n">
        <v>84.90000000000001</v>
      </c>
      <c r="C1037" t="inlineStr">
        <is>
          <t>% wins or ties</t>
        </is>
      </c>
      <c r="D1037" t="inlineStr">
        <is>
          <t>OpenAI - Introducing GPT-5.5</t>
        </is>
      </c>
    </row>
    <row r="1038">
      <c r="A1038" t="inlineStr">
        <is>
          <t>ChatGPT 5.3 Codex</t>
        </is>
      </c>
      <c r="B1038" t="n">
        <v>70.90000000000001</v>
      </c>
      <c r="C1038" t="inlineStr">
        <is>
          <t>% wins or ties</t>
        </is>
      </c>
      <c r="D1038" t="inlineStr">
        <is>
          <t>OpenAI - Introducing GPT-5.3-Codex</t>
        </is>
      </c>
    </row>
    <row r="1039">
      <c r="A1039" t="inlineStr">
        <is>
          <t>Claude Opus 4.7</t>
        </is>
      </c>
      <c r="B1039" t="n">
        <v>80.3</v>
      </c>
      <c r="C1039" t="inlineStr">
        <is>
          <t>% wins or ties</t>
        </is>
      </c>
      <c r="D1039" t="inlineStr">
        <is>
          <t>OpenAI - Introducing GPT-5.5</t>
        </is>
      </c>
    </row>
    <row r="1047">
      <c r="A1047" s="4" t="inlineStr">
        <is>
          <t>What is</t>
        </is>
      </c>
      <c r="B1047" s="5" t="n"/>
      <c r="C1047" s="5" t="n"/>
      <c r="D1047" s="5" t="n"/>
      <c r="E1047" s="5" t="n"/>
      <c r="F1047" s="5" t="n"/>
      <c r="G1047" s="5" t="n"/>
      <c r="H1047" s="5" t="n"/>
      <c r="I1047" s="5" t="n"/>
    </row>
    <row r="1048" ht="45" customHeight="1">
      <c r="A1048" s="11" t="inlineStr">
        <is>
          <t>Professional knowledge-work tasks such as documents, spreadsheets, analysis, and reports.</t>
        </is>
      </c>
      <c r="B1048" s="5" t="n"/>
      <c r="C1048" s="5" t="n"/>
      <c r="D1048" s="5" t="n"/>
      <c r="E1048" s="5" t="n"/>
      <c r="F1048" s="5" t="n"/>
      <c r="G1048" s="5" t="n"/>
      <c r="H1048" s="5" t="n"/>
      <c r="I1048" s="5" t="n"/>
    </row>
    <row r="1049" ht="45" customHeight="1">
      <c r="A1049" s="5" t="n"/>
      <c r="B1049" s="5" t="n"/>
      <c r="C1049" s="5" t="n"/>
      <c r="D1049" s="5" t="n"/>
      <c r="E1049" s="5" t="n"/>
      <c r="F1049" s="5" t="n"/>
      <c r="G1049" s="5" t="n"/>
      <c r="H1049" s="5" t="n"/>
      <c r="I1049" s="5" t="n"/>
    </row>
    <row r="1050" ht="45" customHeight="1">
      <c r="A1050" s="5" t="n"/>
      <c r="B1050" s="5" t="n"/>
      <c r="C1050" s="5" t="n"/>
      <c r="D1050" s="5" t="n"/>
      <c r="E1050" s="5" t="n"/>
      <c r="F1050" s="5" t="n"/>
      <c r="G1050" s="5" t="n"/>
      <c r="H1050" s="5" t="n"/>
      <c r="I1050" s="5" t="n"/>
    </row>
    <row r="1052">
      <c r="A1052" s="4" t="inlineStr">
        <is>
          <t>Explain for 11</t>
        </is>
      </c>
      <c r="B1052" s="5" t="n"/>
      <c r="C1052" s="5" t="n"/>
      <c r="D1052" s="5" t="n"/>
      <c r="E1052" s="5" t="n"/>
      <c r="F1052" s="5" t="n"/>
      <c r="G1052" s="5" t="n"/>
      <c r="H1052" s="5" t="n"/>
      <c r="I1052" s="5" t="n"/>
    </row>
    <row r="1053" ht="45" customHeight="1">
      <c r="A1053" s="11" t="inlineStr">
        <is>
          <t>Can the AI do office homework well enough that a professional would accept it?</t>
        </is>
      </c>
      <c r="B1053" s="5" t="n"/>
      <c r="C1053" s="5" t="n"/>
      <c r="D1053" s="5" t="n"/>
      <c r="E1053" s="5" t="n"/>
      <c r="F1053" s="5" t="n"/>
      <c r="G1053" s="5" t="n"/>
      <c r="H1053" s="5" t="n"/>
      <c r="I1053" s="5" t="n"/>
    </row>
    <row r="1054" ht="45" customHeight="1">
      <c r="A1054" s="5" t="n"/>
      <c r="B1054" s="5" t="n"/>
      <c r="C1054" s="5" t="n"/>
      <c r="D1054" s="5" t="n"/>
      <c r="E1054" s="5" t="n"/>
      <c r="F1054" s="5" t="n"/>
      <c r="G1054" s="5" t="n"/>
      <c r="H1054" s="5" t="n"/>
      <c r="I1054" s="5" t="n"/>
    </row>
    <row r="1055" ht="45" customHeight="1">
      <c r="A1055" s="5" t="n"/>
      <c r="B1055" s="5" t="n"/>
      <c r="C1055" s="5" t="n"/>
      <c r="D1055" s="5" t="n"/>
      <c r="E1055" s="5" t="n"/>
      <c r="F1055" s="5" t="n"/>
      <c r="G1055" s="5" t="n"/>
      <c r="H1055" s="5" t="n"/>
      <c r="I1055" s="5" t="n"/>
    </row>
    <row r="1057">
      <c r="A1057" s="4" t="inlineStr">
        <is>
          <t>Top-score example</t>
        </is>
      </c>
      <c r="B1057" s="5" t="n"/>
      <c r="C1057" s="5" t="n"/>
      <c r="D1057" s="5" t="n"/>
      <c r="E1057" s="5" t="n"/>
      <c r="F1057" s="5" t="n"/>
      <c r="G1057" s="5" t="n"/>
      <c r="H1057" s="5" t="n"/>
      <c r="I1057" s="5" t="n"/>
    </row>
    <row r="1058" ht="45" customHeight="1">
      <c r="A1058" s="11" t="inlineStr">
        <is>
          <t>Top available score here: ChatGPT 5.5 at 84.9 % wins or ties. At that level, the model is solving reports, spreadsheets, legal/finance-style summaries, and analysis.</t>
        </is>
      </c>
      <c r="B1058" s="5" t="n"/>
      <c r="C1058" s="5" t="n"/>
      <c r="D1058" s="5" t="n"/>
      <c r="E1058" s="5" t="n"/>
      <c r="F1058" s="5" t="n"/>
      <c r="G1058" s="5" t="n"/>
      <c r="H1058" s="5" t="n"/>
      <c r="I1058" s="5" t="n"/>
    </row>
    <row r="1059" ht="45" customHeight="1">
      <c r="A1059" s="5" t="n"/>
      <c r="B1059" s="5" t="n"/>
      <c r="C1059" s="5" t="n"/>
      <c r="D1059" s="5" t="n"/>
      <c r="E1059" s="5" t="n"/>
      <c r="F1059" s="5" t="n"/>
      <c r="G1059" s="5" t="n"/>
      <c r="H1059" s="5" t="n"/>
      <c r="I1059" s="5" t="n"/>
    </row>
    <row r="1060" ht="45" customHeight="1">
      <c r="A1060" s="5" t="n"/>
      <c r="B1060" s="5" t="n"/>
      <c r="C1060" s="5" t="n"/>
      <c r="D1060" s="5" t="n"/>
      <c r="E1060" s="5" t="n"/>
      <c r="F1060" s="5" t="n"/>
      <c r="G1060" s="5" t="n"/>
      <c r="H1060" s="5" t="n"/>
      <c r="I1060" s="5" t="n"/>
    </row>
    <row r="1062">
      <c r="A1062" s="4" t="inlineStr">
        <is>
          <t>Similar tests and differences</t>
        </is>
      </c>
      <c r="B1062" s="5" t="n"/>
      <c r="C1062" s="5" t="n"/>
      <c r="D1062" s="5" t="n"/>
      <c r="E1062" s="5" t="n"/>
      <c r="F1062" s="5" t="n"/>
      <c r="G1062" s="5" t="n"/>
      <c r="H1062" s="5" t="n"/>
      <c r="I1062" s="5" t="n"/>
    </row>
    <row r="1063" ht="45" customHeight="1">
      <c r="A1063" s="11" t="inlineStr">
        <is>
          <t>GDPval is usually percent wins/ties; GDPval-AA uses Elo-style ranking.</t>
        </is>
      </c>
      <c r="B1063" s="5" t="n"/>
      <c r="C1063" s="5" t="n"/>
      <c r="D1063" s="5" t="n"/>
      <c r="E1063" s="5" t="n"/>
      <c r="F1063" s="5" t="n"/>
      <c r="G1063" s="5" t="n"/>
      <c r="H1063" s="5" t="n"/>
      <c r="I1063" s="5" t="n"/>
    </row>
    <row r="1064" ht="45" customHeight="1">
      <c r="A1064" s="5" t="n"/>
      <c r="B1064" s="5" t="n"/>
      <c r="C1064" s="5" t="n"/>
      <c r="D1064" s="5" t="n"/>
      <c r="E1064" s="5" t="n"/>
      <c r="F1064" s="5" t="n"/>
      <c r="G1064" s="5" t="n"/>
      <c r="H1064" s="5" t="n"/>
      <c r="I1064" s="5" t="n"/>
    </row>
    <row r="1065" ht="45" customHeight="1">
      <c r="A1065" s="5" t="n"/>
      <c r="B1065" s="5" t="n"/>
      <c r="C1065" s="5" t="n"/>
      <c r="D1065" s="5" t="n"/>
      <c r="E1065" s="5" t="n"/>
      <c r="F1065" s="5" t="n"/>
      <c r="G1065" s="5" t="n"/>
      <c r="H1065" s="5" t="n"/>
      <c r="I1065" s="5" t="n"/>
    </row>
    <row r="1069">
      <c r="A1069" s="9" t="inlineStr">
        <is>
          <t>GDPval-AA | 3 - Professional work</t>
        </is>
      </c>
    </row>
    <row r="1070">
      <c r="A1070" s="10" t="inlineStr">
        <is>
          <t>Model</t>
        </is>
      </c>
      <c r="B1070" s="10" t="inlineStr">
        <is>
          <t>Score</t>
        </is>
      </c>
      <c r="C1070" s="10" t="inlineStr">
        <is>
          <t>Unit</t>
        </is>
      </c>
      <c r="D1070" s="10" t="inlineStr">
        <is>
          <t>Source</t>
        </is>
      </c>
    </row>
    <row r="1071">
      <c r="A1071" t="inlineStr">
        <is>
          <t>Claude Opus 4.7</t>
        </is>
      </c>
      <c r="B1071" t="n">
        <v>1753</v>
      </c>
      <c r="C1071" t="inlineStr">
        <is>
          <t>Elo</t>
        </is>
      </c>
      <c r="D1071" t="inlineStr">
        <is>
          <t>Artificial Analysis - Opus 4.7 analysis</t>
        </is>
      </c>
    </row>
    <row r="1072">
      <c r="A1072" t="inlineStr">
        <is>
          <t>Claude Sonnet 4.6</t>
        </is>
      </c>
      <c r="B1072" t="n">
        <v>1674</v>
      </c>
      <c r="C1072" t="inlineStr">
        <is>
          <t>Elo</t>
        </is>
      </c>
      <c r="D1072" t="inlineStr">
        <is>
          <t>Artificial Analysis - Opus 4.7 analysis</t>
        </is>
      </c>
    </row>
    <row r="1073">
      <c r="A1073" t="inlineStr">
        <is>
          <t>MiniMax M2.7</t>
        </is>
      </c>
      <c r="B1073" t="n">
        <v>1495</v>
      </c>
      <c r="C1073" t="inlineStr">
        <is>
          <t>Elo</t>
        </is>
      </c>
      <c r="D1073" t="inlineStr">
        <is>
          <t>NVIDIA NIM - MiniMax M2.7 model card</t>
        </is>
      </c>
    </row>
    <row r="1074">
      <c r="A1074" t="inlineStr">
        <is>
          <t>Kimi K2.6</t>
        </is>
      </c>
      <c r="B1074" t="n">
        <v>1482</v>
      </c>
      <c r="C1074" t="inlineStr">
        <is>
          <t>Elo</t>
        </is>
      </c>
      <c r="D1074" t="inlineStr">
        <is>
          <t>DeepSeek - DeepSeek-V4-Pro Hugging Face model card</t>
        </is>
      </c>
    </row>
    <row r="1075">
      <c r="A1075" t="inlineStr">
        <is>
          <t>DeepSeek V4-Pro Max</t>
        </is>
      </c>
      <c r="B1075" t="n">
        <v>1554</v>
      </c>
      <c r="C1075" t="inlineStr">
        <is>
          <t>Elo</t>
        </is>
      </c>
      <c r="D1075" t="inlineStr">
        <is>
          <t>DeepSeek - DeepSeek-V4-Pro Hugging Face model card</t>
        </is>
      </c>
    </row>
    <row r="1076">
      <c r="A1076" t="inlineStr">
        <is>
          <t>GLM-5.1</t>
        </is>
      </c>
      <c r="B1076" t="n">
        <v>1535</v>
      </c>
      <c r="C1076" t="inlineStr">
        <is>
          <t>Elo</t>
        </is>
      </c>
      <c r="D1076" t="inlineStr">
        <is>
          <t>DeepSeek - DeepSeek-V4-Pro Hugging Face model card</t>
        </is>
      </c>
    </row>
    <row r="1081">
      <c r="A1081" s="4" t="inlineStr">
        <is>
          <t>What is</t>
        </is>
      </c>
      <c r="B1081" s="5" t="n"/>
      <c r="C1081" s="5" t="n"/>
      <c r="D1081" s="5" t="n"/>
      <c r="E1081" s="5" t="n"/>
      <c r="F1081" s="5" t="n"/>
      <c r="G1081" s="5" t="n"/>
      <c r="H1081" s="5" t="n"/>
      <c r="I1081" s="5" t="n"/>
    </row>
    <row r="1082" ht="45" customHeight="1">
      <c r="A1082" s="11" t="inlineStr">
        <is>
          <t>An Artificial Analysis professional-task benchmark using Elo-style scores.</t>
        </is>
      </c>
      <c r="B1082" s="5" t="n"/>
      <c r="C1082" s="5" t="n"/>
      <c r="D1082" s="5" t="n"/>
      <c r="E1082" s="5" t="n"/>
      <c r="F1082" s="5" t="n"/>
      <c r="G1082" s="5" t="n"/>
      <c r="H1082" s="5" t="n"/>
      <c r="I1082" s="5" t="n"/>
    </row>
    <row r="1083" ht="45" customHeight="1">
      <c r="A1083" s="5" t="n"/>
      <c r="B1083" s="5" t="n"/>
      <c r="C1083" s="5" t="n"/>
      <c r="D1083" s="5" t="n"/>
      <c r="E1083" s="5" t="n"/>
      <c r="F1083" s="5" t="n"/>
      <c r="G1083" s="5" t="n"/>
      <c r="H1083" s="5" t="n"/>
      <c r="I1083" s="5" t="n"/>
    </row>
    <row r="1084" ht="45" customHeight="1">
      <c r="A1084" s="5" t="n"/>
      <c r="B1084" s="5" t="n"/>
      <c r="C1084" s="5" t="n"/>
      <c r="D1084" s="5" t="n"/>
      <c r="E1084" s="5" t="n"/>
      <c r="F1084" s="5" t="n"/>
      <c r="G1084" s="5" t="n"/>
      <c r="H1084" s="5" t="n"/>
      <c r="I1084" s="5" t="n"/>
    </row>
    <row r="1086">
      <c r="A1086" s="4" t="inlineStr">
        <is>
          <t>Explain for 11</t>
        </is>
      </c>
      <c r="B1086" s="5" t="n"/>
      <c r="C1086" s="5" t="n"/>
      <c r="D1086" s="5" t="n"/>
      <c r="E1086" s="5" t="n"/>
      <c r="F1086" s="5" t="n"/>
      <c r="G1086" s="5" t="n"/>
      <c r="H1086" s="5" t="n"/>
      <c r="I1086" s="5" t="n"/>
    </row>
    <row r="1087" ht="45" customHeight="1">
      <c r="A1087" s="11" t="inlineStr">
        <is>
          <t>A league table for office-work ability.</t>
        </is>
      </c>
      <c r="B1087" s="5" t="n"/>
      <c r="C1087" s="5" t="n"/>
      <c r="D1087" s="5" t="n"/>
      <c r="E1087" s="5" t="n"/>
      <c r="F1087" s="5" t="n"/>
      <c r="G1087" s="5" t="n"/>
      <c r="H1087" s="5" t="n"/>
      <c r="I1087" s="5" t="n"/>
    </row>
    <row r="1088" ht="45" customHeight="1">
      <c r="A1088" s="5" t="n"/>
      <c r="B1088" s="5" t="n"/>
      <c r="C1088" s="5" t="n"/>
      <c r="D1088" s="5" t="n"/>
      <c r="E1088" s="5" t="n"/>
      <c r="F1088" s="5" t="n"/>
      <c r="G1088" s="5" t="n"/>
      <c r="H1088" s="5" t="n"/>
      <c r="I1088" s="5" t="n"/>
    </row>
    <row r="1089" ht="45" customHeight="1">
      <c r="A1089" s="5" t="n"/>
      <c r="B1089" s="5" t="n"/>
      <c r="C1089" s="5" t="n"/>
      <c r="D1089" s="5" t="n"/>
      <c r="E1089" s="5" t="n"/>
      <c r="F1089" s="5" t="n"/>
      <c r="G1089" s="5" t="n"/>
      <c r="H1089" s="5" t="n"/>
      <c r="I1089" s="5" t="n"/>
    </row>
    <row r="1091">
      <c r="A1091" s="4" t="inlineStr">
        <is>
          <t>Top-score example</t>
        </is>
      </c>
      <c r="B1091" s="5" t="n"/>
      <c r="C1091" s="5" t="n"/>
      <c r="D1091" s="5" t="n"/>
      <c r="E1091" s="5" t="n"/>
      <c r="F1091" s="5" t="n"/>
      <c r="G1091" s="5" t="n"/>
      <c r="H1091" s="5" t="n"/>
      <c r="I1091" s="5" t="n"/>
    </row>
    <row r="1092" ht="45" customHeight="1">
      <c r="A1092" s="11" t="inlineStr">
        <is>
          <t>Top available score here: Claude Opus 4.7 at 1753 Elo. At that level, the model is solving document, spreadsheet, finance, legal, and business-analysis tasks.</t>
        </is>
      </c>
      <c r="B1092" s="5" t="n"/>
      <c r="C1092" s="5" t="n"/>
      <c r="D1092" s="5" t="n"/>
      <c r="E1092" s="5" t="n"/>
      <c r="F1092" s="5" t="n"/>
      <c r="G1092" s="5" t="n"/>
      <c r="H1092" s="5" t="n"/>
      <c r="I1092" s="5" t="n"/>
    </row>
    <row r="1093" ht="45" customHeight="1">
      <c r="A1093" s="5" t="n"/>
      <c r="B1093" s="5" t="n"/>
      <c r="C1093" s="5" t="n"/>
      <c r="D1093" s="5" t="n"/>
      <c r="E1093" s="5" t="n"/>
      <c r="F1093" s="5" t="n"/>
      <c r="G1093" s="5" t="n"/>
      <c r="H1093" s="5" t="n"/>
      <c r="I1093" s="5" t="n"/>
    </row>
    <row r="1094" ht="45" customHeight="1">
      <c r="A1094" s="5" t="n"/>
      <c r="B1094" s="5" t="n"/>
      <c r="C1094" s="5" t="n"/>
      <c r="D1094" s="5" t="n"/>
      <c r="E1094" s="5" t="n"/>
      <c r="F1094" s="5" t="n"/>
      <c r="G1094" s="5" t="n"/>
      <c r="H1094" s="5" t="n"/>
      <c r="I1094" s="5" t="n"/>
    </row>
    <row r="1096">
      <c r="A1096" s="4" t="inlineStr">
        <is>
          <t>Similar tests and differences</t>
        </is>
      </c>
      <c r="B1096" s="5" t="n"/>
      <c r="C1096" s="5" t="n"/>
      <c r="D1096" s="5" t="n"/>
      <c r="E1096" s="5" t="n"/>
      <c r="F1096" s="5" t="n"/>
      <c r="G1096" s="5" t="n"/>
      <c r="H1096" s="5" t="n"/>
      <c r="I1096" s="5" t="n"/>
    </row>
    <row r="1097" ht="45" customHeight="1">
      <c r="A1097" s="11" t="inlineStr">
        <is>
          <t>Related to GDPval but the scoring format is different.</t>
        </is>
      </c>
      <c r="B1097" s="5" t="n"/>
      <c r="C1097" s="5" t="n"/>
      <c r="D1097" s="5" t="n"/>
      <c r="E1097" s="5" t="n"/>
      <c r="F1097" s="5" t="n"/>
      <c r="G1097" s="5" t="n"/>
      <c r="H1097" s="5" t="n"/>
      <c r="I1097" s="5" t="n"/>
    </row>
    <row r="1098" ht="45" customHeight="1">
      <c r="A1098" s="5" t="n"/>
      <c r="B1098" s="5" t="n"/>
      <c r="C1098" s="5" t="n"/>
      <c r="D1098" s="5" t="n"/>
      <c r="E1098" s="5" t="n"/>
      <c r="F1098" s="5" t="n"/>
      <c r="G1098" s="5" t="n"/>
      <c r="H1098" s="5" t="n"/>
      <c r="I1098" s="5" t="n"/>
    </row>
    <row r="1099" ht="45" customHeight="1">
      <c r="A1099" s="5" t="n"/>
      <c r="B1099" s="5" t="n"/>
      <c r="C1099" s="5" t="n"/>
      <c r="D1099" s="5" t="n"/>
      <c r="E1099" s="5" t="n"/>
      <c r="F1099" s="5" t="n"/>
      <c r="G1099" s="5" t="n"/>
      <c r="H1099" s="5" t="n"/>
      <c r="I1099" s="5" t="n"/>
    </row>
    <row r="1103">
      <c r="A1103" s="9" t="inlineStr">
        <is>
          <t>Finance Agent | 4 - Finance work</t>
        </is>
      </c>
    </row>
    <row r="1104">
      <c r="A1104" s="10" t="inlineStr">
        <is>
          <t>Model</t>
        </is>
      </c>
      <c r="B1104" s="10" t="inlineStr">
        <is>
          <t>Score</t>
        </is>
      </c>
      <c r="C1104" s="10" t="inlineStr">
        <is>
          <t>Unit</t>
        </is>
      </c>
      <c r="D1104" s="10" t="inlineStr">
        <is>
          <t>Source</t>
        </is>
      </c>
    </row>
    <row r="1105">
      <c r="A1105" t="inlineStr">
        <is>
          <t>No comparable public score in the current source set.</t>
        </is>
      </c>
    </row>
    <row r="1111">
      <c r="A1111" s="4" t="inlineStr">
        <is>
          <t>What is</t>
        </is>
      </c>
      <c r="B1111" s="5" t="n"/>
      <c r="C1111" s="5" t="n"/>
      <c r="D1111" s="5" t="n"/>
      <c r="E1111" s="5" t="n"/>
      <c r="F1111" s="5" t="n"/>
      <c r="G1111" s="5" t="n"/>
      <c r="H1111" s="5" t="n"/>
      <c r="I1111" s="5" t="n"/>
    </row>
    <row r="1112" ht="45" customHeight="1">
      <c r="A1112" s="11" t="inlineStr">
        <is>
          <t>Finance-specific agent tasks: analysis, calculations, filings, and tool use.</t>
        </is>
      </c>
      <c r="B1112" s="5" t="n"/>
      <c r="C1112" s="5" t="n"/>
      <c r="D1112" s="5" t="n"/>
      <c r="E1112" s="5" t="n"/>
      <c r="F1112" s="5" t="n"/>
      <c r="G1112" s="5" t="n"/>
      <c r="H1112" s="5" t="n"/>
      <c r="I1112" s="5" t="n"/>
    </row>
    <row r="1113" ht="45" customHeight="1">
      <c r="A1113" s="5" t="n"/>
      <c r="B1113" s="5" t="n"/>
      <c r="C1113" s="5" t="n"/>
      <c r="D1113" s="5" t="n"/>
      <c r="E1113" s="5" t="n"/>
      <c r="F1113" s="5" t="n"/>
      <c r="G1113" s="5" t="n"/>
      <c r="H1113" s="5" t="n"/>
      <c r="I1113" s="5" t="n"/>
    </row>
    <row r="1114" ht="45" customHeight="1">
      <c r="A1114" s="5" t="n"/>
      <c r="B1114" s="5" t="n"/>
      <c r="C1114" s="5" t="n"/>
      <c r="D1114" s="5" t="n"/>
      <c r="E1114" s="5" t="n"/>
      <c r="F1114" s="5" t="n"/>
      <c r="G1114" s="5" t="n"/>
      <c r="H1114" s="5" t="n"/>
      <c r="I1114" s="5" t="n"/>
    </row>
    <row r="1116">
      <c r="A1116" s="4" t="inlineStr">
        <is>
          <t>Explain for 11</t>
        </is>
      </c>
      <c r="B1116" s="5" t="n"/>
      <c r="C1116" s="5" t="n"/>
      <c r="D1116" s="5" t="n"/>
      <c r="E1116" s="5" t="n"/>
      <c r="F1116" s="5" t="n"/>
      <c r="G1116" s="5" t="n"/>
      <c r="H1116" s="5" t="n"/>
      <c r="I1116" s="5" t="n"/>
    </row>
    <row r="1117" ht="45" customHeight="1">
      <c r="A1117" s="11" t="inlineStr">
        <is>
          <t>A money-and-company homework test for the AI.</t>
        </is>
      </c>
      <c r="B1117" s="5" t="n"/>
      <c r="C1117" s="5" t="n"/>
      <c r="D1117" s="5" t="n"/>
      <c r="E1117" s="5" t="n"/>
      <c r="F1117" s="5" t="n"/>
      <c r="G1117" s="5" t="n"/>
      <c r="H1117" s="5" t="n"/>
      <c r="I1117" s="5" t="n"/>
    </row>
    <row r="1118" ht="45" customHeight="1">
      <c r="A1118" s="5" t="n"/>
      <c r="B1118" s="5" t="n"/>
      <c r="C1118" s="5" t="n"/>
      <c r="D1118" s="5" t="n"/>
      <c r="E1118" s="5" t="n"/>
      <c r="F1118" s="5" t="n"/>
      <c r="G1118" s="5" t="n"/>
      <c r="H1118" s="5" t="n"/>
      <c r="I1118" s="5" t="n"/>
    </row>
    <row r="1119" ht="45" customHeight="1">
      <c r="A1119" s="5" t="n"/>
      <c r="B1119" s="5" t="n"/>
      <c r="C1119" s="5" t="n"/>
      <c r="D1119" s="5" t="n"/>
      <c r="E1119" s="5" t="n"/>
      <c r="F1119" s="5" t="n"/>
      <c r="G1119" s="5" t="n"/>
      <c r="H1119" s="5" t="n"/>
      <c r="I1119" s="5" t="n"/>
    </row>
    <row r="1121">
      <c r="A1121" s="4" t="inlineStr">
        <is>
          <t>Top-score example</t>
        </is>
      </c>
      <c r="B1121" s="5" t="n"/>
      <c r="C1121" s="5" t="n"/>
      <c r="D1121" s="5" t="n"/>
      <c r="E1121" s="5" t="n"/>
      <c r="F1121" s="5" t="n"/>
      <c r="G1121" s="5" t="n"/>
      <c r="H1121" s="5" t="n"/>
      <c r="I1121" s="5" t="n"/>
    </row>
    <row r="1122" ht="45" customHeight="1">
      <c r="A1122" s="11" t="inlineStr">
        <is>
          <t>No comparable public score is recorded in this workbook yet. The guide entry is included so you can track it when a model card or leaderboard publishes scores.</t>
        </is>
      </c>
      <c r="B1122" s="5" t="n"/>
      <c r="C1122" s="5" t="n"/>
      <c r="D1122" s="5" t="n"/>
      <c r="E1122" s="5" t="n"/>
      <c r="F1122" s="5" t="n"/>
      <c r="G1122" s="5" t="n"/>
      <c r="H1122" s="5" t="n"/>
      <c r="I1122" s="5" t="n"/>
    </row>
    <row r="1123" ht="45" customHeight="1">
      <c r="A1123" s="5" t="n"/>
      <c r="B1123" s="5" t="n"/>
      <c r="C1123" s="5" t="n"/>
      <c r="D1123" s="5" t="n"/>
      <c r="E1123" s="5" t="n"/>
      <c r="F1123" s="5" t="n"/>
      <c r="G1123" s="5" t="n"/>
      <c r="H1123" s="5" t="n"/>
      <c r="I1123" s="5" t="n"/>
    </row>
    <row r="1124" ht="45" customHeight="1">
      <c r="A1124" s="5" t="n"/>
      <c r="B1124" s="5" t="n"/>
      <c r="C1124" s="5" t="n"/>
      <c r="D1124" s="5" t="n"/>
      <c r="E1124" s="5" t="n"/>
      <c r="F1124" s="5" t="n"/>
      <c r="G1124" s="5" t="n"/>
      <c r="H1124" s="5" t="n"/>
      <c r="I1124" s="5" t="n"/>
    </row>
    <row r="1126">
      <c r="A1126" s="4" t="inlineStr">
        <is>
          <t>Similar tests and differences</t>
        </is>
      </c>
      <c r="B1126" s="5" t="n"/>
      <c r="C1126" s="5" t="n"/>
      <c r="D1126" s="5" t="n"/>
      <c r="E1126" s="5" t="n"/>
      <c r="F1126" s="5" t="n"/>
      <c r="G1126" s="5" t="n"/>
      <c r="H1126" s="5" t="n"/>
      <c r="I1126" s="5" t="n"/>
    </row>
    <row r="1127" ht="45" customHeight="1">
      <c r="A1127" s="11" t="inlineStr">
        <is>
          <t>Narrower than GDPval; more domain-specific.</t>
        </is>
      </c>
      <c r="B1127" s="5" t="n"/>
      <c r="C1127" s="5" t="n"/>
      <c r="D1127" s="5" t="n"/>
      <c r="E1127" s="5" t="n"/>
      <c r="F1127" s="5" t="n"/>
      <c r="G1127" s="5" t="n"/>
      <c r="H1127" s="5" t="n"/>
      <c r="I1127" s="5" t="n"/>
    </row>
    <row r="1128" ht="45" customHeight="1">
      <c r="A1128" s="5" t="n"/>
      <c r="B1128" s="5" t="n"/>
      <c r="C1128" s="5" t="n"/>
      <c r="D1128" s="5" t="n"/>
      <c r="E1128" s="5" t="n"/>
      <c r="F1128" s="5" t="n"/>
      <c r="G1128" s="5" t="n"/>
      <c r="H1128" s="5" t="n"/>
      <c r="I1128" s="5" t="n"/>
    </row>
    <row r="1129" ht="45" customHeight="1">
      <c r="A1129" s="5" t="n"/>
      <c r="B1129" s="5" t="n"/>
      <c r="C1129" s="5" t="n"/>
      <c r="D1129" s="5" t="n"/>
      <c r="E1129" s="5" t="n"/>
      <c r="F1129" s="5" t="n"/>
      <c r="G1129" s="5" t="n"/>
      <c r="H1129" s="5" t="n"/>
      <c r="I1129" s="5" t="n"/>
    </row>
    <row r="1133">
      <c r="A1133" s="9" t="inlineStr">
        <is>
          <t>MMMU-Pro | 5 - Multimodal expert</t>
        </is>
      </c>
    </row>
    <row r="1134">
      <c r="A1134" s="10" t="inlineStr">
        <is>
          <t>Model</t>
        </is>
      </c>
      <c r="B1134" s="10" t="inlineStr">
        <is>
          <t>Score</t>
        </is>
      </c>
      <c r="C1134" s="10" t="inlineStr">
        <is>
          <t>Unit</t>
        </is>
      </c>
      <c r="D1134" s="10" t="inlineStr">
        <is>
          <t>Source</t>
        </is>
      </c>
    </row>
    <row r="1135">
      <c r="A1135" t="inlineStr">
        <is>
          <t>No comparable public score in the current source set.</t>
        </is>
      </c>
    </row>
    <row r="1141">
      <c r="A1141" s="4" t="inlineStr">
        <is>
          <t>What is</t>
        </is>
      </c>
      <c r="B1141" s="5" t="n"/>
      <c r="C1141" s="5" t="n"/>
      <c r="D1141" s="5" t="n"/>
      <c r="E1141" s="5" t="n"/>
      <c r="F1141" s="5" t="n"/>
      <c r="G1141" s="5" t="n"/>
      <c r="H1141" s="5" t="n"/>
      <c r="I1141" s="5" t="n"/>
    </row>
    <row r="1142" ht="45" customHeight="1">
      <c r="A1142" s="11" t="inlineStr">
        <is>
          <t>A harder multimodal benchmark using images plus text across expert subjects.</t>
        </is>
      </c>
      <c r="B1142" s="5" t="n"/>
      <c r="C1142" s="5" t="n"/>
      <c r="D1142" s="5" t="n"/>
      <c r="E1142" s="5" t="n"/>
      <c r="F1142" s="5" t="n"/>
      <c r="G1142" s="5" t="n"/>
      <c r="H1142" s="5" t="n"/>
      <c r="I1142" s="5" t="n"/>
    </row>
    <row r="1143" ht="45" customHeight="1">
      <c r="A1143" s="5" t="n"/>
      <c r="B1143" s="5" t="n"/>
      <c r="C1143" s="5" t="n"/>
      <c r="D1143" s="5" t="n"/>
      <c r="E1143" s="5" t="n"/>
      <c r="F1143" s="5" t="n"/>
      <c r="G1143" s="5" t="n"/>
      <c r="H1143" s="5" t="n"/>
      <c r="I1143" s="5" t="n"/>
    </row>
    <row r="1144" ht="45" customHeight="1">
      <c r="A1144" s="5" t="n"/>
      <c r="B1144" s="5" t="n"/>
      <c r="C1144" s="5" t="n"/>
      <c r="D1144" s="5" t="n"/>
      <c r="E1144" s="5" t="n"/>
      <c r="F1144" s="5" t="n"/>
      <c r="G1144" s="5" t="n"/>
      <c r="H1144" s="5" t="n"/>
      <c r="I1144" s="5" t="n"/>
    </row>
    <row r="1146">
      <c r="A1146" s="4" t="inlineStr">
        <is>
          <t>Explain for 11</t>
        </is>
      </c>
      <c r="B1146" s="5" t="n"/>
      <c r="C1146" s="5" t="n"/>
      <c r="D1146" s="5" t="n"/>
      <c r="E1146" s="5" t="n"/>
      <c r="F1146" s="5" t="n"/>
      <c r="G1146" s="5" t="n"/>
      <c r="H1146" s="5" t="n"/>
      <c r="I1146" s="5" t="n"/>
    </row>
    <row r="1147" ht="45" customHeight="1">
      <c r="A1147" s="11" t="inlineStr">
        <is>
          <t>The AI must read pictures, diagrams, charts, and questions together.</t>
        </is>
      </c>
      <c r="B1147" s="5" t="n"/>
      <c r="C1147" s="5" t="n"/>
      <c r="D1147" s="5" t="n"/>
      <c r="E1147" s="5" t="n"/>
      <c r="F1147" s="5" t="n"/>
      <c r="G1147" s="5" t="n"/>
      <c r="H1147" s="5" t="n"/>
      <c r="I1147" s="5" t="n"/>
    </row>
    <row r="1148" ht="45" customHeight="1">
      <c r="A1148" s="5" t="n"/>
      <c r="B1148" s="5" t="n"/>
      <c r="C1148" s="5" t="n"/>
      <c r="D1148" s="5" t="n"/>
      <c r="E1148" s="5" t="n"/>
      <c r="F1148" s="5" t="n"/>
      <c r="G1148" s="5" t="n"/>
      <c r="H1148" s="5" t="n"/>
      <c r="I1148" s="5" t="n"/>
    </row>
    <row r="1149" ht="45" customHeight="1">
      <c r="A1149" s="5" t="n"/>
      <c r="B1149" s="5" t="n"/>
      <c r="C1149" s="5" t="n"/>
      <c r="D1149" s="5" t="n"/>
      <c r="E1149" s="5" t="n"/>
      <c r="F1149" s="5" t="n"/>
      <c r="G1149" s="5" t="n"/>
      <c r="H1149" s="5" t="n"/>
      <c r="I1149" s="5" t="n"/>
    </row>
    <row r="1151">
      <c r="A1151" s="4" t="inlineStr">
        <is>
          <t>Top-score example</t>
        </is>
      </c>
      <c r="B1151" s="5" t="n"/>
      <c r="C1151" s="5" t="n"/>
      <c r="D1151" s="5" t="n"/>
      <c r="E1151" s="5" t="n"/>
      <c r="F1151" s="5" t="n"/>
      <c r="G1151" s="5" t="n"/>
      <c r="H1151" s="5" t="n"/>
      <c r="I1151" s="5" t="n"/>
    </row>
    <row r="1152" ht="45" customHeight="1">
      <c r="A1152" s="11" t="inlineStr">
        <is>
          <t>No comparable public score is recorded in this workbook yet. The guide entry is included so you can track it when a model card or leaderboard publishes scores.</t>
        </is>
      </c>
      <c r="B1152" s="5" t="n"/>
      <c r="C1152" s="5" t="n"/>
      <c r="D1152" s="5" t="n"/>
      <c r="E1152" s="5" t="n"/>
      <c r="F1152" s="5" t="n"/>
      <c r="G1152" s="5" t="n"/>
      <c r="H1152" s="5" t="n"/>
      <c r="I1152" s="5" t="n"/>
    </row>
    <row r="1153" ht="45" customHeight="1">
      <c r="A1153" s="5" t="n"/>
      <c r="B1153" s="5" t="n"/>
      <c r="C1153" s="5" t="n"/>
      <c r="D1153" s="5" t="n"/>
      <c r="E1153" s="5" t="n"/>
      <c r="F1153" s="5" t="n"/>
      <c r="G1153" s="5" t="n"/>
      <c r="H1153" s="5" t="n"/>
      <c r="I1153" s="5" t="n"/>
    </row>
    <row r="1154" ht="45" customHeight="1">
      <c r="A1154" s="5" t="n"/>
      <c r="B1154" s="5" t="n"/>
      <c r="C1154" s="5" t="n"/>
      <c r="D1154" s="5" t="n"/>
      <c r="E1154" s="5" t="n"/>
      <c r="F1154" s="5" t="n"/>
      <c r="G1154" s="5" t="n"/>
      <c r="H1154" s="5" t="n"/>
      <c r="I1154" s="5" t="n"/>
    </row>
    <row r="1156">
      <c r="A1156" s="4" t="inlineStr">
        <is>
          <t>Similar tests and differences</t>
        </is>
      </c>
      <c r="B1156" s="5" t="n"/>
      <c r="C1156" s="5" t="n"/>
      <c r="D1156" s="5" t="n"/>
      <c r="E1156" s="5" t="n"/>
      <c r="F1156" s="5" t="n"/>
      <c r="G1156" s="5" t="n"/>
      <c r="H1156" s="5" t="n"/>
      <c r="I1156" s="5" t="n"/>
    </row>
    <row r="1157" ht="45" customHeight="1">
      <c r="A1157" s="11" t="inlineStr">
        <is>
          <t>Harder than plain MMMU/MMMLU because vision and expert reasoning combine.</t>
        </is>
      </c>
      <c r="B1157" s="5" t="n"/>
      <c r="C1157" s="5" t="n"/>
      <c r="D1157" s="5" t="n"/>
      <c r="E1157" s="5" t="n"/>
      <c r="F1157" s="5" t="n"/>
      <c r="G1157" s="5" t="n"/>
      <c r="H1157" s="5" t="n"/>
      <c r="I1157" s="5" t="n"/>
    </row>
    <row r="1158" ht="45" customHeight="1">
      <c r="A1158" s="5" t="n"/>
      <c r="B1158" s="5" t="n"/>
      <c r="C1158" s="5" t="n"/>
      <c r="D1158" s="5" t="n"/>
      <c r="E1158" s="5" t="n"/>
      <c r="F1158" s="5" t="n"/>
      <c r="G1158" s="5" t="n"/>
      <c r="H1158" s="5" t="n"/>
      <c r="I1158" s="5" t="n"/>
    </row>
    <row r="1159" ht="45" customHeight="1">
      <c r="A1159" s="5" t="n"/>
      <c r="B1159" s="5" t="n"/>
      <c r="C1159" s="5" t="n"/>
      <c r="D1159" s="5" t="n"/>
      <c r="E1159" s="5" t="n"/>
      <c r="F1159" s="5" t="n"/>
      <c r="G1159" s="5" t="n"/>
      <c r="H1159" s="5" t="n"/>
      <c r="I1159" s="5" t="n"/>
    </row>
    <row r="1163">
      <c r="A1163" s="9" t="inlineStr">
        <is>
          <t>MMMU-Pro w/ tools | 5 - Multimodal with tools</t>
        </is>
      </c>
    </row>
    <row r="1164">
      <c r="A1164" s="10" t="inlineStr">
        <is>
          <t>Model</t>
        </is>
      </c>
      <c r="B1164" s="10" t="inlineStr">
        <is>
          <t>Score</t>
        </is>
      </c>
      <c r="C1164" s="10" t="inlineStr">
        <is>
          <t>Unit</t>
        </is>
      </c>
      <c r="D1164" s="10" t="inlineStr">
        <is>
          <t>Source</t>
        </is>
      </c>
    </row>
    <row r="1165">
      <c r="A1165" t="inlineStr">
        <is>
          <t>No comparable public score in the current source set.</t>
        </is>
      </c>
    </row>
    <row r="1171">
      <c r="A1171" s="4" t="inlineStr">
        <is>
          <t>What is</t>
        </is>
      </c>
      <c r="B1171" s="5" t="n"/>
      <c r="C1171" s="5" t="n"/>
      <c r="D1171" s="5" t="n"/>
      <c r="E1171" s="5" t="n"/>
      <c r="F1171" s="5" t="n"/>
      <c r="G1171" s="5" t="n"/>
      <c r="H1171" s="5" t="n"/>
      <c r="I1171" s="5" t="n"/>
    </row>
    <row r="1172" ht="45" customHeight="1">
      <c r="A1172" s="11" t="inlineStr">
        <is>
          <t>MMMU-Pro with external tools allowed.</t>
        </is>
      </c>
      <c r="B1172" s="5" t="n"/>
      <c r="C1172" s="5" t="n"/>
      <c r="D1172" s="5" t="n"/>
      <c r="E1172" s="5" t="n"/>
      <c r="F1172" s="5" t="n"/>
      <c r="G1172" s="5" t="n"/>
      <c r="H1172" s="5" t="n"/>
      <c r="I1172" s="5" t="n"/>
    </row>
    <row r="1173" ht="45" customHeight="1">
      <c r="A1173" s="5" t="n"/>
      <c r="B1173" s="5" t="n"/>
      <c r="C1173" s="5" t="n"/>
      <c r="D1173" s="5" t="n"/>
      <c r="E1173" s="5" t="n"/>
      <c r="F1173" s="5" t="n"/>
      <c r="G1173" s="5" t="n"/>
      <c r="H1173" s="5" t="n"/>
      <c r="I1173" s="5" t="n"/>
    </row>
    <row r="1174" ht="45" customHeight="1">
      <c r="A1174" s="5" t="n"/>
      <c r="B1174" s="5" t="n"/>
      <c r="C1174" s="5" t="n"/>
      <c r="D1174" s="5" t="n"/>
      <c r="E1174" s="5" t="n"/>
      <c r="F1174" s="5" t="n"/>
      <c r="G1174" s="5" t="n"/>
      <c r="H1174" s="5" t="n"/>
      <c r="I1174" s="5" t="n"/>
    </row>
    <row r="1176">
      <c r="A1176" s="4" t="inlineStr">
        <is>
          <t>Explain for 11</t>
        </is>
      </c>
      <c r="B1176" s="5" t="n"/>
      <c r="C1176" s="5" t="n"/>
      <c r="D1176" s="5" t="n"/>
      <c r="E1176" s="5" t="n"/>
      <c r="F1176" s="5" t="n"/>
      <c r="G1176" s="5" t="n"/>
      <c r="H1176" s="5" t="n"/>
      <c r="I1176" s="5" t="n"/>
    </row>
    <row r="1177" ht="45" customHeight="1">
      <c r="A1177" s="11" t="inlineStr">
        <is>
          <t>The AI can use tools while solving picture-and-text expert questions.</t>
        </is>
      </c>
      <c r="B1177" s="5" t="n"/>
      <c r="C1177" s="5" t="n"/>
      <c r="D1177" s="5" t="n"/>
      <c r="E1177" s="5" t="n"/>
      <c r="F1177" s="5" t="n"/>
      <c r="G1177" s="5" t="n"/>
      <c r="H1177" s="5" t="n"/>
      <c r="I1177" s="5" t="n"/>
    </row>
    <row r="1178" ht="45" customHeight="1">
      <c r="A1178" s="5" t="n"/>
      <c r="B1178" s="5" t="n"/>
      <c r="C1178" s="5" t="n"/>
      <c r="D1178" s="5" t="n"/>
      <c r="E1178" s="5" t="n"/>
      <c r="F1178" s="5" t="n"/>
      <c r="G1178" s="5" t="n"/>
      <c r="H1178" s="5" t="n"/>
      <c r="I1178" s="5" t="n"/>
    </row>
    <row r="1179" ht="45" customHeight="1">
      <c r="A1179" s="5" t="n"/>
      <c r="B1179" s="5" t="n"/>
      <c r="C1179" s="5" t="n"/>
      <c r="D1179" s="5" t="n"/>
      <c r="E1179" s="5" t="n"/>
      <c r="F1179" s="5" t="n"/>
      <c r="G1179" s="5" t="n"/>
      <c r="H1179" s="5" t="n"/>
      <c r="I1179" s="5" t="n"/>
    </row>
    <row r="1181">
      <c r="A1181" s="4" t="inlineStr">
        <is>
          <t>Top-score example</t>
        </is>
      </c>
      <c r="B1181" s="5" t="n"/>
      <c r="C1181" s="5" t="n"/>
      <c r="D1181" s="5" t="n"/>
      <c r="E1181" s="5" t="n"/>
      <c r="F1181" s="5" t="n"/>
      <c r="G1181" s="5" t="n"/>
      <c r="H1181" s="5" t="n"/>
      <c r="I1181" s="5" t="n"/>
    </row>
    <row r="1182" ht="45" customHeight="1">
      <c r="A1182" s="11" t="inlineStr">
        <is>
          <t>No comparable public score is recorded in this workbook yet. The guide entry is included so you can track it when a model card or leaderboard publishes scores.</t>
        </is>
      </c>
      <c r="B1182" s="5" t="n"/>
      <c r="C1182" s="5" t="n"/>
      <c r="D1182" s="5" t="n"/>
      <c r="E1182" s="5" t="n"/>
      <c r="F1182" s="5" t="n"/>
      <c r="G1182" s="5" t="n"/>
      <c r="H1182" s="5" t="n"/>
      <c r="I1182" s="5" t="n"/>
    </row>
    <row r="1183" ht="45" customHeight="1">
      <c r="A1183" s="5" t="n"/>
      <c r="B1183" s="5" t="n"/>
      <c r="C1183" s="5" t="n"/>
      <c r="D1183" s="5" t="n"/>
      <c r="E1183" s="5" t="n"/>
      <c r="F1183" s="5" t="n"/>
      <c r="G1183" s="5" t="n"/>
      <c r="H1183" s="5" t="n"/>
      <c r="I1183" s="5" t="n"/>
    </row>
    <row r="1184" ht="45" customHeight="1">
      <c r="A1184" s="5" t="n"/>
      <c r="B1184" s="5" t="n"/>
      <c r="C1184" s="5" t="n"/>
      <c r="D1184" s="5" t="n"/>
      <c r="E1184" s="5" t="n"/>
      <c r="F1184" s="5" t="n"/>
      <c r="G1184" s="5" t="n"/>
      <c r="H1184" s="5" t="n"/>
      <c r="I1184" s="5" t="n"/>
    </row>
    <row r="1186">
      <c r="A1186" s="4" t="inlineStr">
        <is>
          <t>Similar tests and differences</t>
        </is>
      </c>
      <c r="B1186" s="5" t="n"/>
      <c r="C1186" s="5" t="n"/>
      <c r="D1186" s="5" t="n"/>
      <c r="E1186" s="5" t="n"/>
      <c r="F1186" s="5" t="n"/>
      <c r="G1186" s="5" t="n"/>
      <c r="H1186" s="5" t="n"/>
      <c r="I1186" s="5" t="n"/>
    </row>
    <row r="1187" ht="45" customHeight="1">
      <c r="A1187" s="11" t="inlineStr">
        <is>
          <t>Different from MMMU-Pro because tool choice becomes part of the test.</t>
        </is>
      </c>
      <c r="B1187" s="5" t="n"/>
      <c r="C1187" s="5" t="n"/>
      <c r="D1187" s="5" t="n"/>
      <c r="E1187" s="5" t="n"/>
      <c r="F1187" s="5" t="n"/>
      <c r="G1187" s="5" t="n"/>
      <c r="H1187" s="5" t="n"/>
      <c r="I1187" s="5" t="n"/>
    </row>
    <row r="1188" ht="45" customHeight="1">
      <c r="A1188" s="5" t="n"/>
      <c r="B1188" s="5" t="n"/>
      <c r="C1188" s="5" t="n"/>
      <c r="D1188" s="5" t="n"/>
      <c r="E1188" s="5" t="n"/>
      <c r="F1188" s="5" t="n"/>
      <c r="G1188" s="5" t="n"/>
      <c r="H1188" s="5" t="n"/>
      <c r="I1188" s="5" t="n"/>
    </row>
    <row r="1189" ht="45" customHeight="1">
      <c r="A1189" s="5" t="n"/>
      <c r="B1189" s="5" t="n"/>
      <c r="C1189" s="5" t="n"/>
      <c r="D1189" s="5" t="n"/>
      <c r="E1189" s="5" t="n"/>
      <c r="F1189" s="5" t="n"/>
      <c r="G1189" s="5" t="n"/>
      <c r="H1189" s="5" t="n"/>
      <c r="I1189" s="5" t="n"/>
    </row>
    <row r="1193">
      <c r="A1193" s="9" t="inlineStr">
        <is>
          <t>OSWorld-Verified | 3 - Desktop operation</t>
        </is>
      </c>
    </row>
    <row r="1194">
      <c r="A1194" s="10" t="inlineStr">
        <is>
          <t>Model</t>
        </is>
      </c>
      <c r="B1194" s="10" t="inlineStr">
        <is>
          <t>Score</t>
        </is>
      </c>
      <c r="C1194" s="10" t="inlineStr">
        <is>
          <t>Unit</t>
        </is>
      </c>
      <c r="D1194" s="10" t="inlineStr">
        <is>
          <t>Source</t>
        </is>
      </c>
    </row>
    <row r="1195">
      <c r="A1195" t="inlineStr">
        <is>
          <t>ChatGPT 5.5</t>
        </is>
      </c>
      <c r="B1195" t="n">
        <v>78.7</v>
      </c>
      <c r="C1195" t="inlineStr">
        <is>
          <t>% success</t>
        </is>
      </c>
      <c r="D1195" t="inlineStr">
        <is>
          <t>OpenAI - Introducing GPT-5.5</t>
        </is>
      </c>
    </row>
    <row r="1196">
      <c r="A1196" t="inlineStr">
        <is>
          <t>ChatGPT 5.3 Codex</t>
        </is>
      </c>
      <c r="B1196" t="n">
        <v>64.7</v>
      </c>
      <c r="C1196" t="inlineStr">
        <is>
          <t>% success</t>
        </is>
      </c>
      <c r="D1196" t="inlineStr">
        <is>
          <t>OpenAI - Introducing GPT-5.3-Codex</t>
        </is>
      </c>
    </row>
    <row r="1197">
      <c r="A1197" t="inlineStr">
        <is>
          <t>Claude Opus 4.7</t>
        </is>
      </c>
      <c r="B1197" t="n">
        <v>78</v>
      </c>
      <c r="C1197" t="inlineStr">
        <is>
          <t>% success</t>
        </is>
      </c>
      <c r="D1197" t="inlineStr">
        <is>
          <t>OpenAI - Introducing GPT-5.5; Hokai - Claude Opus 4.7 benchmark summary</t>
        </is>
      </c>
    </row>
    <row r="1198">
      <c r="A1198" t="inlineStr">
        <is>
          <t>Kimi K2.6</t>
        </is>
      </c>
      <c r="B1198" t="n">
        <v>73.09999999999999</v>
      </c>
      <c r="C1198" t="inlineStr">
        <is>
          <t>% success</t>
        </is>
      </c>
      <c r="D1198" t="inlineStr">
        <is>
          <t>Moonshot AI - Kimi K2.6 Hugging Face model card</t>
        </is>
      </c>
    </row>
    <row r="1205">
      <c r="A1205" s="4" t="inlineStr">
        <is>
          <t>What is</t>
        </is>
      </c>
      <c r="B1205" s="5" t="n"/>
      <c r="C1205" s="5" t="n"/>
      <c r="D1205" s="5" t="n"/>
      <c r="E1205" s="5" t="n"/>
      <c r="F1205" s="5" t="n"/>
      <c r="G1205" s="5" t="n"/>
      <c r="H1205" s="5" t="n"/>
      <c r="I1205" s="5" t="n"/>
    </row>
    <row r="1206" ht="45" customHeight="1">
      <c r="A1206" s="11" t="inlineStr">
        <is>
          <t>Real desktop-computer tasks through a visual interface.</t>
        </is>
      </c>
      <c r="B1206" s="5" t="n"/>
      <c r="C1206" s="5" t="n"/>
      <c r="D1206" s="5" t="n"/>
      <c r="E1206" s="5" t="n"/>
      <c r="F1206" s="5" t="n"/>
      <c r="G1206" s="5" t="n"/>
      <c r="H1206" s="5" t="n"/>
      <c r="I1206" s="5" t="n"/>
    </row>
    <row r="1207" ht="45" customHeight="1">
      <c r="A1207" s="5" t="n"/>
      <c r="B1207" s="5" t="n"/>
      <c r="C1207" s="5" t="n"/>
      <c r="D1207" s="5" t="n"/>
      <c r="E1207" s="5" t="n"/>
      <c r="F1207" s="5" t="n"/>
      <c r="G1207" s="5" t="n"/>
      <c r="H1207" s="5" t="n"/>
      <c r="I1207" s="5" t="n"/>
    </row>
    <row r="1208" ht="45" customHeight="1">
      <c r="A1208" s="5" t="n"/>
      <c r="B1208" s="5" t="n"/>
      <c r="C1208" s="5" t="n"/>
      <c r="D1208" s="5" t="n"/>
      <c r="E1208" s="5" t="n"/>
      <c r="F1208" s="5" t="n"/>
      <c r="G1208" s="5" t="n"/>
      <c r="H1208" s="5" t="n"/>
      <c r="I1208" s="5" t="n"/>
    </row>
    <row r="1210">
      <c r="A1210" s="4" t="inlineStr">
        <is>
          <t>Explain for 11</t>
        </is>
      </c>
      <c r="B1210" s="5" t="n"/>
      <c r="C1210" s="5" t="n"/>
      <c r="D1210" s="5" t="n"/>
      <c r="E1210" s="5" t="n"/>
      <c r="F1210" s="5" t="n"/>
      <c r="G1210" s="5" t="n"/>
      <c r="H1210" s="5" t="n"/>
      <c r="I1210" s="5" t="n"/>
    </row>
    <row r="1211" ht="45" customHeight="1">
      <c r="A1211" s="11" t="inlineStr">
        <is>
          <t>The AI clicks, types, reads the screen, and completes computer tasks.</t>
        </is>
      </c>
      <c r="B1211" s="5" t="n"/>
      <c r="C1211" s="5" t="n"/>
      <c r="D1211" s="5" t="n"/>
      <c r="E1211" s="5" t="n"/>
      <c r="F1211" s="5" t="n"/>
      <c r="G1211" s="5" t="n"/>
      <c r="H1211" s="5" t="n"/>
      <c r="I1211" s="5" t="n"/>
    </row>
    <row r="1212" ht="45" customHeight="1">
      <c r="A1212" s="5" t="n"/>
      <c r="B1212" s="5" t="n"/>
      <c r="C1212" s="5" t="n"/>
      <c r="D1212" s="5" t="n"/>
      <c r="E1212" s="5" t="n"/>
      <c r="F1212" s="5" t="n"/>
      <c r="G1212" s="5" t="n"/>
      <c r="H1212" s="5" t="n"/>
      <c r="I1212" s="5" t="n"/>
    </row>
    <row r="1213" ht="45" customHeight="1">
      <c r="A1213" s="5" t="n"/>
      <c r="B1213" s="5" t="n"/>
      <c r="C1213" s="5" t="n"/>
      <c r="D1213" s="5" t="n"/>
      <c r="E1213" s="5" t="n"/>
      <c r="F1213" s="5" t="n"/>
      <c r="G1213" s="5" t="n"/>
      <c r="H1213" s="5" t="n"/>
      <c r="I1213" s="5" t="n"/>
    </row>
    <row r="1215">
      <c r="A1215" s="4" t="inlineStr">
        <is>
          <t>Top-score example</t>
        </is>
      </c>
      <c r="B1215" s="5" t="n"/>
      <c r="C1215" s="5" t="n"/>
      <c r="D1215" s="5" t="n"/>
      <c r="E1215" s="5" t="n"/>
      <c r="F1215" s="5" t="n"/>
      <c r="G1215" s="5" t="n"/>
      <c r="H1215" s="5" t="n"/>
      <c r="I1215" s="5" t="n"/>
    </row>
    <row r="1216" ht="45" customHeight="1">
      <c r="A1216" s="11" t="inlineStr">
        <is>
          <t>Top available score here: ChatGPT 5.5 at 78.7 % success. At that level, the model is solving spreadsheet, browser, and app workflows on a computer screen.</t>
        </is>
      </c>
      <c r="B1216" s="5" t="n"/>
      <c r="C1216" s="5" t="n"/>
      <c r="D1216" s="5" t="n"/>
      <c r="E1216" s="5" t="n"/>
      <c r="F1216" s="5" t="n"/>
      <c r="G1216" s="5" t="n"/>
      <c r="H1216" s="5" t="n"/>
      <c r="I1216" s="5" t="n"/>
    </row>
    <row r="1217" ht="45" customHeight="1">
      <c r="A1217" s="5" t="n"/>
      <c r="B1217" s="5" t="n"/>
      <c r="C1217" s="5" t="n"/>
      <c r="D1217" s="5" t="n"/>
      <c r="E1217" s="5" t="n"/>
      <c r="F1217" s="5" t="n"/>
      <c r="G1217" s="5" t="n"/>
      <c r="H1217" s="5" t="n"/>
      <c r="I1217" s="5" t="n"/>
    </row>
    <row r="1218" ht="45" customHeight="1">
      <c r="A1218" s="5" t="n"/>
      <c r="B1218" s="5" t="n"/>
      <c r="C1218" s="5" t="n"/>
      <c r="D1218" s="5" t="n"/>
      <c r="E1218" s="5" t="n"/>
      <c r="F1218" s="5" t="n"/>
      <c r="G1218" s="5" t="n"/>
      <c r="H1218" s="5" t="n"/>
      <c r="I1218" s="5" t="n"/>
    </row>
    <row r="1220">
      <c r="A1220" s="4" t="inlineStr">
        <is>
          <t>Similar tests and differences</t>
        </is>
      </c>
      <c r="B1220" s="5" t="n"/>
      <c r="C1220" s="5" t="n"/>
      <c r="D1220" s="5" t="n"/>
      <c r="E1220" s="5" t="n"/>
      <c r="F1220" s="5" t="n"/>
      <c r="G1220" s="5" t="n"/>
      <c r="H1220" s="5" t="n"/>
      <c r="I1220" s="5" t="n"/>
    </row>
    <row r="1221" ht="45" customHeight="1">
      <c r="A1221" s="11" t="inlineStr">
        <is>
          <t>More UI-focused than Terminal-Bench, which is command-line focused.</t>
        </is>
      </c>
      <c r="B1221" s="5" t="n"/>
      <c r="C1221" s="5" t="n"/>
      <c r="D1221" s="5" t="n"/>
      <c r="E1221" s="5" t="n"/>
      <c r="F1221" s="5" t="n"/>
      <c r="G1221" s="5" t="n"/>
      <c r="H1221" s="5" t="n"/>
      <c r="I1221" s="5" t="n"/>
    </row>
    <row r="1222" ht="45" customHeight="1">
      <c r="A1222" s="5" t="n"/>
      <c r="B1222" s="5" t="n"/>
      <c r="C1222" s="5" t="n"/>
      <c r="D1222" s="5" t="n"/>
      <c r="E1222" s="5" t="n"/>
      <c r="F1222" s="5" t="n"/>
      <c r="G1222" s="5" t="n"/>
      <c r="H1222" s="5" t="n"/>
      <c r="I1222" s="5" t="n"/>
    </row>
    <row r="1223" ht="45" customHeight="1">
      <c r="A1223" s="5" t="n"/>
      <c r="B1223" s="5" t="n"/>
      <c r="C1223" s="5" t="n"/>
      <c r="D1223" s="5" t="n"/>
      <c r="E1223" s="5" t="n"/>
      <c r="F1223" s="5" t="n"/>
      <c r="G1223" s="5" t="n"/>
      <c r="H1223" s="5" t="n"/>
      <c r="I1223" s="5" t="n"/>
    </row>
    <row r="1227">
      <c r="A1227" s="9" t="inlineStr">
        <is>
          <t>BrowseComp | 4 - Web research</t>
        </is>
      </c>
    </row>
    <row r="1228">
      <c r="A1228" s="10" t="inlineStr">
        <is>
          <t>Model</t>
        </is>
      </c>
      <c r="B1228" s="10" t="inlineStr">
        <is>
          <t>Score</t>
        </is>
      </c>
      <c r="C1228" s="10" t="inlineStr">
        <is>
          <t>Unit</t>
        </is>
      </c>
      <c r="D1228" s="10" t="inlineStr">
        <is>
          <t>Source</t>
        </is>
      </c>
    </row>
    <row r="1229">
      <c r="A1229" t="inlineStr">
        <is>
          <t>ChatGPT 5.5</t>
        </is>
      </c>
      <c r="B1229" t="n">
        <v>84.40000000000001</v>
      </c>
      <c r="C1229" t="inlineStr">
        <is>
          <t>% pass</t>
        </is>
      </c>
      <c r="D1229" t="inlineStr">
        <is>
          <t>OpenAI - Introducing GPT-5.5</t>
        </is>
      </c>
    </row>
    <row r="1230">
      <c r="A1230" t="inlineStr">
        <is>
          <t>Claude Opus 4.7</t>
        </is>
      </c>
      <c r="B1230" t="n">
        <v>79.3</v>
      </c>
      <c r="C1230" t="inlineStr">
        <is>
          <t>% pass</t>
        </is>
      </c>
      <c r="D1230" t="inlineStr">
        <is>
          <t>OpenAI - Introducing GPT-5.5</t>
        </is>
      </c>
    </row>
    <row r="1231">
      <c r="A1231" t="inlineStr">
        <is>
          <t>Kimi K2.6</t>
        </is>
      </c>
      <c r="B1231" t="n">
        <v>83.2</v>
      </c>
      <c r="C1231" t="inlineStr">
        <is>
          <t>% pass</t>
        </is>
      </c>
      <c r="D1231" t="inlineStr">
        <is>
          <t>Moonshot AI - Kimi K2.6 Hugging Face model card</t>
        </is>
      </c>
    </row>
    <row r="1232">
      <c r="A1232" t="inlineStr">
        <is>
          <t>DeepSeek V4-Pro Max</t>
        </is>
      </c>
      <c r="B1232" t="n">
        <v>83.40000000000001</v>
      </c>
      <c r="C1232" t="inlineStr">
        <is>
          <t>% pass</t>
        </is>
      </c>
      <c r="D1232" t="inlineStr">
        <is>
          <t>DeepSeek - DeepSeek-V4-Pro Hugging Face model card</t>
        </is>
      </c>
    </row>
    <row r="1233">
      <c r="A1233" t="inlineStr">
        <is>
          <t>GLM-5.1</t>
        </is>
      </c>
      <c r="B1233" t="n">
        <v>68</v>
      </c>
      <c r="C1233" t="inlineStr">
        <is>
          <t>% pass</t>
        </is>
      </c>
      <c r="D1233" t="inlineStr">
        <is>
          <t>NVIDIA NIM - GLM-5.1 model card</t>
        </is>
      </c>
    </row>
    <row r="1239">
      <c r="A1239" s="4" t="inlineStr">
        <is>
          <t>What is</t>
        </is>
      </c>
      <c r="B1239" s="5" t="n"/>
      <c r="C1239" s="5" t="n"/>
      <c r="D1239" s="5" t="n"/>
      <c r="E1239" s="5" t="n"/>
      <c r="F1239" s="5" t="n"/>
      <c r="G1239" s="5" t="n"/>
      <c r="H1239" s="5" t="n"/>
      <c r="I1239" s="5" t="n"/>
    </row>
    <row r="1240" ht="45" customHeight="1">
      <c r="A1240" s="11" t="inlineStr">
        <is>
          <t>Difficult web browsing and retrieval tasks.</t>
        </is>
      </c>
      <c r="B1240" s="5" t="n"/>
      <c r="C1240" s="5" t="n"/>
      <c r="D1240" s="5" t="n"/>
      <c r="E1240" s="5" t="n"/>
      <c r="F1240" s="5" t="n"/>
      <c r="G1240" s="5" t="n"/>
      <c r="H1240" s="5" t="n"/>
      <c r="I1240" s="5" t="n"/>
    </row>
    <row r="1241" ht="45" customHeight="1">
      <c r="A1241" s="5" t="n"/>
      <c r="B1241" s="5" t="n"/>
      <c r="C1241" s="5" t="n"/>
      <c r="D1241" s="5" t="n"/>
      <c r="E1241" s="5" t="n"/>
      <c r="F1241" s="5" t="n"/>
      <c r="G1241" s="5" t="n"/>
      <c r="H1241" s="5" t="n"/>
      <c r="I1241" s="5" t="n"/>
    </row>
    <row r="1242" ht="45" customHeight="1">
      <c r="A1242" s="5" t="n"/>
      <c r="B1242" s="5" t="n"/>
      <c r="C1242" s="5" t="n"/>
      <c r="D1242" s="5" t="n"/>
      <c r="E1242" s="5" t="n"/>
      <c r="F1242" s="5" t="n"/>
      <c r="G1242" s="5" t="n"/>
      <c r="H1242" s="5" t="n"/>
      <c r="I1242" s="5" t="n"/>
    </row>
    <row r="1244">
      <c r="A1244" s="4" t="inlineStr">
        <is>
          <t>Explain for 11</t>
        </is>
      </c>
      <c r="B1244" s="5" t="n"/>
      <c r="C1244" s="5" t="n"/>
      <c r="D1244" s="5" t="n"/>
      <c r="E1244" s="5" t="n"/>
      <c r="F1244" s="5" t="n"/>
      <c r="G1244" s="5" t="n"/>
      <c r="H1244" s="5" t="n"/>
      <c r="I1244" s="5" t="n"/>
    </row>
    <row r="1245" ht="45" customHeight="1">
      <c r="A1245" s="11" t="inlineStr">
        <is>
          <t>An internet treasure hunt where the answer is hidden behind several clues.</t>
        </is>
      </c>
      <c r="B1245" s="5" t="n"/>
      <c r="C1245" s="5" t="n"/>
      <c r="D1245" s="5" t="n"/>
      <c r="E1245" s="5" t="n"/>
      <c r="F1245" s="5" t="n"/>
      <c r="G1245" s="5" t="n"/>
      <c r="H1245" s="5" t="n"/>
      <c r="I1245" s="5" t="n"/>
    </row>
    <row r="1246" ht="45" customHeight="1">
      <c r="A1246" s="5" t="n"/>
      <c r="B1246" s="5" t="n"/>
      <c r="C1246" s="5" t="n"/>
      <c r="D1246" s="5" t="n"/>
      <c r="E1246" s="5" t="n"/>
      <c r="F1246" s="5" t="n"/>
      <c r="G1246" s="5" t="n"/>
      <c r="H1246" s="5" t="n"/>
      <c r="I1246" s="5" t="n"/>
    </row>
    <row r="1247" ht="45" customHeight="1">
      <c r="A1247" s="5" t="n"/>
      <c r="B1247" s="5" t="n"/>
      <c r="C1247" s="5" t="n"/>
      <c r="D1247" s="5" t="n"/>
      <c r="E1247" s="5" t="n"/>
      <c r="F1247" s="5" t="n"/>
      <c r="G1247" s="5" t="n"/>
      <c r="H1247" s="5" t="n"/>
      <c r="I1247" s="5" t="n"/>
    </row>
    <row r="1249">
      <c r="A1249" s="4" t="inlineStr">
        <is>
          <t>Top-score example</t>
        </is>
      </c>
      <c r="B1249" s="5" t="n"/>
      <c r="C1249" s="5" t="n"/>
      <c r="D1249" s="5" t="n"/>
      <c r="E1249" s="5" t="n"/>
      <c r="F1249" s="5" t="n"/>
      <c r="G1249" s="5" t="n"/>
      <c r="H1249" s="5" t="n"/>
      <c r="I1249" s="5" t="n"/>
    </row>
    <row r="1250" ht="45" customHeight="1">
      <c r="A1250" s="11" t="inlineStr">
        <is>
          <t>Top available score here: ChatGPT 5.5 at 84.4 % pass. At that level, the model is solving web research questions needing persistence and source reading.</t>
        </is>
      </c>
      <c r="B1250" s="5" t="n"/>
      <c r="C1250" s="5" t="n"/>
      <c r="D1250" s="5" t="n"/>
      <c r="E1250" s="5" t="n"/>
      <c r="F1250" s="5" t="n"/>
      <c r="G1250" s="5" t="n"/>
      <c r="H1250" s="5" t="n"/>
      <c r="I1250" s="5" t="n"/>
    </row>
    <row r="1251" ht="45" customHeight="1">
      <c r="A1251" s="5" t="n"/>
      <c r="B1251" s="5" t="n"/>
      <c r="C1251" s="5" t="n"/>
      <c r="D1251" s="5" t="n"/>
      <c r="E1251" s="5" t="n"/>
      <c r="F1251" s="5" t="n"/>
      <c r="G1251" s="5" t="n"/>
      <c r="H1251" s="5" t="n"/>
      <c r="I1251" s="5" t="n"/>
    </row>
    <row r="1252" ht="45" customHeight="1">
      <c r="A1252" s="5" t="n"/>
      <c r="B1252" s="5" t="n"/>
      <c r="C1252" s="5" t="n"/>
      <c r="D1252" s="5" t="n"/>
      <c r="E1252" s="5" t="n"/>
      <c r="F1252" s="5" t="n"/>
      <c r="G1252" s="5" t="n"/>
      <c r="H1252" s="5" t="n"/>
      <c r="I1252" s="5" t="n"/>
    </row>
    <row r="1254">
      <c r="A1254" s="4" t="inlineStr">
        <is>
          <t>Similar tests and differences</t>
        </is>
      </c>
      <c r="B1254" s="5" t="n"/>
      <c r="C1254" s="5" t="n"/>
      <c r="D1254" s="5" t="n"/>
      <c r="E1254" s="5" t="n"/>
      <c r="F1254" s="5" t="n"/>
      <c r="G1254" s="5" t="n"/>
      <c r="H1254" s="5" t="n"/>
      <c r="I1254" s="5" t="n"/>
    </row>
    <row r="1255" ht="45" customHeight="1">
      <c r="A1255" s="11" t="inlineStr">
        <is>
          <t>More search-heavy than general knowledge tests.</t>
        </is>
      </c>
      <c r="B1255" s="5" t="n"/>
      <c r="C1255" s="5" t="n"/>
      <c r="D1255" s="5" t="n"/>
      <c r="E1255" s="5" t="n"/>
      <c r="F1255" s="5" t="n"/>
      <c r="G1255" s="5" t="n"/>
      <c r="H1255" s="5" t="n"/>
      <c r="I1255" s="5" t="n"/>
    </row>
    <row r="1256" ht="45" customHeight="1">
      <c r="A1256" s="5" t="n"/>
      <c r="B1256" s="5" t="n"/>
      <c r="C1256" s="5" t="n"/>
      <c r="D1256" s="5" t="n"/>
      <c r="E1256" s="5" t="n"/>
      <c r="F1256" s="5" t="n"/>
      <c r="G1256" s="5" t="n"/>
      <c r="H1256" s="5" t="n"/>
      <c r="I1256" s="5" t="n"/>
    </row>
    <row r="1257" ht="45" customHeight="1">
      <c r="A1257" s="5" t="n"/>
      <c r="B1257" s="5" t="n"/>
      <c r="C1257" s="5" t="n"/>
      <c r="D1257" s="5" t="n"/>
      <c r="E1257" s="5" t="n"/>
      <c r="F1257" s="5" t="n"/>
      <c r="G1257" s="5" t="n"/>
      <c r="H1257" s="5" t="n"/>
      <c r="I1257" s="5" t="n"/>
    </row>
    <row r="1261">
      <c r="A1261" s="9" t="inlineStr">
        <is>
          <t>BrowseComp w/ context management | 4 - Web research</t>
        </is>
      </c>
    </row>
    <row r="1262">
      <c r="A1262" s="10" t="inlineStr">
        <is>
          <t>Model</t>
        </is>
      </c>
      <c r="B1262" s="10" t="inlineStr">
        <is>
          <t>Score</t>
        </is>
      </c>
      <c r="C1262" s="10" t="inlineStr">
        <is>
          <t>Unit</t>
        </is>
      </c>
      <c r="D1262" s="10" t="inlineStr">
        <is>
          <t>Source</t>
        </is>
      </c>
    </row>
    <row r="1263">
      <c r="A1263" t="inlineStr">
        <is>
          <t>GLM-5.1</t>
        </is>
      </c>
      <c r="B1263" t="n">
        <v>79.3</v>
      </c>
      <c r="C1263" t="inlineStr">
        <is>
          <t>% pass</t>
        </is>
      </c>
      <c r="D1263" t="inlineStr">
        <is>
          <t>NVIDIA NIM - GLM-5.1 model card</t>
        </is>
      </c>
    </row>
    <row r="1273">
      <c r="A1273" s="4" t="inlineStr">
        <is>
          <t>What is</t>
        </is>
      </c>
      <c r="B1273" s="5" t="n"/>
      <c r="C1273" s="5" t="n"/>
      <c r="D1273" s="5" t="n"/>
      <c r="E1273" s="5" t="n"/>
      <c r="F1273" s="5" t="n"/>
      <c r="G1273" s="5" t="n"/>
      <c r="H1273" s="5" t="n"/>
      <c r="I1273" s="5" t="n"/>
    </row>
    <row r="1274" ht="45" customHeight="1">
      <c r="A1274" s="11" t="inlineStr">
        <is>
          <t>BrowseComp with explicit long-context management.</t>
        </is>
      </c>
      <c r="B1274" s="5" t="n"/>
      <c r="C1274" s="5" t="n"/>
      <c r="D1274" s="5" t="n"/>
      <c r="E1274" s="5" t="n"/>
      <c r="F1274" s="5" t="n"/>
      <c r="G1274" s="5" t="n"/>
      <c r="H1274" s="5" t="n"/>
      <c r="I1274" s="5" t="n"/>
    </row>
    <row r="1275" ht="45" customHeight="1">
      <c r="A1275" s="5" t="n"/>
      <c r="B1275" s="5" t="n"/>
      <c r="C1275" s="5" t="n"/>
      <c r="D1275" s="5" t="n"/>
      <c r="E1275" s="5" t="n"/>
      <c r="F1275" s="5" t="n"/>
      <c r="G1275" s="5" t="n"/>
      <c r="H1275" s="5" t="n"/>
      <c r="I1275" s="5" t="n"/>
    </row>
    <row r="1276" ht="45" customHeight="1">
      <c r="A1276" s="5" t="n"/>
      <c r="B1276" s="5" t="n"/>
      <c r="C1276" s="5" t="n"/>
      <c r="D1276" s="5" t="n"/>
      <c r="E1276" s="5" t="n"/>
      <c r="F1276" s="5" t="n"/>
      <c r="G1276" s="5" t="n"/>
      <c r="H1276" s="5" t="n"/>
      <c r="I1276" s="5" t="n"/>
    </row>
    <row r="1278">
      <c r="A1278" s="4" t="inlineStr">
        <is>
          <t>Explain for 11</t>
        </is>
      </c>
      <c r="B1278" s="5" t="n"/>
      <c r="C1278" s="5" t="n"/>
      <c r="D1278" s="5" t="n"/>
      <c r="E1278" s="5" t="n"/>
      <c r="F1278" s="5" t="n"/>
      <c r="G1278" s="5" t="n"/>
      <c r="H1278" s="5" t="n"/>
      <c r="I1278" s="5" t="n"/>
    </row>
    <row r="1279" ht="45" customHeight="1">
      <c r="A1279" s="11" t="inlineStr">
        <is>
          <t>The AI has to keep track of what it found without forgetting important clues.</t>
        </is>
      </c>
      <c r="B1279" s="5" t="n"/>
      <c r="C1279" s="5" t="n"/>
      <c r="D1279" s="5" t="n"/>
      <c r="E1279" s="5" t="n"/>
      <c r="F1279" s="5" t="n"/>
      <c r="G1279" s="5" t="n"/>
      <c r="H1279" s="5" t="n"/>
      <c r="I1279" s="5" t="n"/>
    </row>
    <row r="1280" ht="45" customHeight="1">
      <c r="A1280" s="5" t="n"/>
      <c r="B1280" s="5" t="n"/>
      <c r="C1280" s="5" t="n"/>
      <c r="D1280" s="5" t="n"/>
      <c r="E1280" s="5" t="n"/>
      <c r="F1280" s="5" t="n"/>
      <c r="G1280" s="5" t="n"/>
      <c r="H1280" s="5" t="n"/>
      <c r="I1280" s="5" t="n"/>
    </row>
    <row r="1281" ht="45" customHeight="1">
      <c r="A1281" s="5" t="n"/>
      <c r="B1281" s="5" t="n"/>
      <c r="C1281" s="5" t="n"/>
      <c r="D1281" s="5" t="n"/>
      <c r="E1281" s="5" t="n"/>
      <c r="F1281" s="5" t="n"/>
      <c r="G1281" s="5" t="n"/>
      <c r="H1281" s="5" t="n"/>
      <c r="I1281" s="5" t="n"/>
    </row>
    <row r="1283">
      <c r="A1283" s="4" t="inlineStr">
        <is>
          <t>Top-score example</t>
        </is>
      </c>
      <c r="B1283" s="5" t="n"/>
      <c r="C1283" s="5" t="n"/>
      <c r="D1283" s="5" t="n"/>
      <c r="E1283" s="5" t="n"/>
      <c r="F1283" s="5" t="n"/>
      <c r="G1283" s="5" t="n"/>
      <c r="H1283" s="5" t="n"/>
      <c r="I1283" s="5" t="n"/>
    </row>
    <row r="1284" ht="45" customHeight="1">
      <c r="A1284" s="11" t="inlineStr">
        <is>
          <t>Top available score here: GLM-5.1 at 79.3 % pass. At that level, the model is solving long web investigations with many pieces of evidence.</t>
        </is>
      </c>
      <c r="B1284" s="5" t="n"/>
      <c r="C1284" s="5" t="n"/>
      <c r="D1284" s="5" t="n"/>
      <c r="E1284" s="5" t="n"/>
      <c r="F1284" s="5" t="n"/>
      <c r="G1284" s="5" t="n"/>
      <c r="H1284" s="5" t="n"/>
      <c r="I1284" s="5" t="n"/>
    </row>
    <row r="1285" ht="45" customHeight="1">
      <c r="A1285" s="5" t="n"/>
      <c r="B1285" s="5" t="n"/>
      <c r="C1285" s="5" t="n"/>
      <c r="D1285" s="5" t="n"/>
      <c r="E1285" s="5" t="n"/>
      <c r="F1285" s="5" t="n"/>
      <c r="G1285" s="5" t="n"/>
      <c r="H1285" s="5" t="n"/>
      <c r="I1285" s="5" t="n"/>
    </row>
    <row r="1286" ht="45" customHeight="1">
      <c r="A1286" s="5" t="n"/>
      <c r="B1286" s="5" t="n"/>
      <c r="C1286" s="5" t="n"/>
      <c r="D1286" s="5" t="n"/>
      <c r="E1286" s="5" t="n"/>
      <c r="F1286" s="5" t="n"/>
      <c r="G1286" s="5" t="n"/>
      <c r="H1286" s="5" t="n"/>
      <c r="I1286" s="5" t="n"/>
    </row>
    <row r="1288">
      <c r="A1288" s="4" t="inlineStr">
        <is>
          <t>Similar tests and differences</t>
        </is>
      </c>
      <c r="B1288" s="5" t="n"/>
      <c r="C1288" s="5" t="n"/>
      <c r="D1288" s="5" t="n"/>
      <c r="E1288" s="5" t="n"/>
      <c r="F1288" s="5" t="n"/>
      <c r="G1288" s="5" t="n"/>
      <c r="H1288" s="5" t="n"/>
      <c r="I1288" s="5" t="n"/>
    </row>
    <row r="1289" ht="45" customHeight="1">
      <c r="A1289" s="11" t="inlineStr">
        <is>
          <t>Harder operationally than plain BrowseComp.</t>
        </is>
      </c>
      <c r="B1289" s="5" t="n"/>
      <c r="C1289" s="5" t="n"/>
      <c r="D1289" s="5" t="n"/>
      <c r="E1289" s="5" t="n"/>
      <c r="F1289" s="5" t="n"/>
      <c r="G1289" s="5" t="n"/>
      <c r="H1289" s="5" t="n"/>
      <c r="I1289" s="5" t="n"/>
    </row>
    <row r="1290" ht="45" customHeight="1">
      <c r="A1290" s="5" t="n"/>
      <c r="B1290" s="5" t="n"/>
      <c r="C1290" s="5" t="n"/>
      <c r="D1290" s="5" t="n"/>
      <c r="E1290" s="5" t="n"/>
      <c r="F1290" s="5" t="n"/>
      <c r="G1290" s="5" t="n"/>
      <c r="H1290" s="5" t="n"/>
      <c r="I1290" s="5" t="n"/>
    </row>
    <row r="1291" ht="45" customHeight="1">
      <c r="A1291" s="5" t="n"/>
      <c r="B1291" s="5" t="n"/>
      <c r="C1291" s="5" t="n"/>
      <c r="D1291" s="5" t="n"/>
      <c r="E1291" s="5" t="n"/>
      <c r="F1291" s="5" t="n"/>
      <c r="G1291" s="5" t="n"/>
      <c r="H1291" s="5" t="n"/>
      <c r="I1291" s="5" t="n"/>
    </row>
    <row r="1295">
      <c r="A1295" s="9" t="inlineStr">
        <is>
          <t>DeepSearchQA | 4 - Web research</t>
        </is>
      </c>
    </row>
    <row r="1296">
      <c r="A1296" s="10" t="inlineStr">
        <is>
          <t>Model</t>
        </is>
      </c>
      <c r="B1296" s="10" t="inlineStr">
        <is>
          <t>Score</t>
        </is>
      </c>
      <c r="C1296" s="10" t="inlineStr">
        <is>
          <t>Unit</t>
        </is>
      </c>
      <c r="D1296" s="10" t="inlineStr">
        <is>
          <t>Source</t>
        </is>
      </c>
    </row>
    <row r="1297">
      <c r="A1297" t="inlineStr">
        <is>
          <t>Kimi K2.6</t>
        </is>
      </c>
      <c r="B1297" t="n">
        <v>92.5</v>
      </c>
      <c r="C1297" t="inlineStr">
        <is>
          <t>F1</t>
        </is>
      </c>
      <c r="D1297" t="inlineStr">
        <is>
          <t>Moonshot AI - Kimi K2.6 Hugging Face model card</t>
        </is>
      </c>
    </row>
    <row r="1307">
      <c r="A1307" s="4" t="inlineStr">
        <is>
          <t>What is</t>
        </is>
      </c>
      <c r="B1307" s="5" t="n"/>
      <c r="C1307" s="5" t="n"/>
      <c r="D1307" s="5" t="n"/>
      <c r="E1307" s="5" t="n"/>
      <c r="F1307" s="5" t="n"/>
      <c r="G1307" s="5" t="n"/>
      <c r="H1307" s="5" t="n"/>
      <c r="I1307" s="5" t="n"/>
    </row>
    <row r="1308" ht="45" customHeight="1">
      <c r="A1308" s="11" t="inlineStr">
        <is>
          <t>Search-heavy question answering scored for answer quality.</t>
        </is>
      </c>
      <c r="B1308" s="5" t="n"/>
      <c r="C1308" s="5" t="n"/>
      <c r="D1308" s="5" t="n"/>
      <c r="E1308" s="5" t="n"/>
      <c r="F1308" s="5" t="n"/>
      <c r="G1308" s="5" t="n"/>
      <c r="H1308" s="5" t="n"/>
      <c r="I1308" s="5" t="n"/>
    </row>
    <row r="1309" ht="45" customHeight="1">
      <c r="A1309" s="5" t="n"/>
      <c r="B1309" s="5" t="n"/>
      <c r="C1309" s="5" t="n"/>
      <c r="D1309" s="5" t="n"/>
      <c r="E1309" s="5" t="n"/>
      <c r="F1309" s="5" t="n"/>
      <c r="G1309" s="5" t="n"/>
      <c r="H1309" s="5" t="n"/>
      <c r="I1309" s="5" t="n"/>
    </row>
    <row r="1310" ht="45" customHeight="1">
      <c r="A1310" s="5" t="n"/>
      <c r="B1310" s="5" t="n"/>
      <c r="C1310" s="5" t="n"/>
      <c r="D1310" s="5" t="n"/>
      <c r="E1310" s="5" t="n"/>
      <c r="F1310" s="5" t="n"/>
      <c r="G1310" s="5" t="n"/>
      <c r="H1310" s="5" t="n"/>
      <c r="I1310" s="5" t="n"/>
    </row>
    <row r="1312">
      <c r="A1312" s="4" t="inlineStr">
        <is>
          <t>Explain for 11</t>
        </is>
      </c>
      <c r="B1312" s="5" t="n"/>
      <c r="C1312" s="5" t="n"/>
      <c r="D1312" s="5" t="n"/>
      <c r="E1312" s="5" t="n"/>
      <c r="F1312" s="5" t="n"/>
      <c r="G1312" s="5" t="n"/>
      <c r="H1312" s="5" t="n"/>
      <c r="I1312" s="5" t="n"/>
    </row>
    <row r="1313" ht="45" customHeight="1">
      <c r="A1313" s="11" t="inlineStr">
        <is>
          <t>The AI searches and returns the right answer, not just a nice-looking paragraph.</t>
        </is>
      </c>
      <c r="B1313" s="5" t="n"/>
      <c r="C1313" s="5" t="n"/>
      <c r="D1313" s="5" t="n"/>
      <c r="E1313" s="5" t="n"/>
      <c r="F1313" s="5" t="n"/>
      <c r="G1313" s="5" t="n"/>
      <c r="H1313" s="5" t="n"/>
      <c r="I1313" s="5" t="n"/>
    </row>
    <row r="1314" ht="45" customHeight="1">
      <c r="A1314" s="5" t="n"/>
      <c r="B1314" s="5" t="n"/>
      <c r="C1314" s="5" t="n"/>
      <c r="D1314" s="5" t="n"/>
      <c r="E1314" s="5" t="n"/>
      <c r="F1314" s="5" t="n"/>
      <c r="G1314" s="5" t="n"/>
      <c r="H1314" s="5" t="n"/>
      <c r="I1314" s="5" t="n"/>
    </row>
    <row r="1315" ht="45" customHeight="1">
      <c r="A1315" s="5" t="n"/>
      <c r="B1315" s="5" t="n"/>
      <c r="C1315" s="5" t="n"/>
      <c r="D1315" s="5" t="n"/>
      <c r="E1315" s="5" t="n"/>
      <c r="F1315" s="5" t="n"/>
      <c r="G1315" s="5" t="n"/>
      <c r="H1315" s="5" t="n"/>
      <c r="I1315" s="5" t="n"/>
    </row>
    <row r="1317">
      <c r="A1317" s="4" t="inlineStr">
        <is>
          <t>Top-score example</t>
        </is>
      </c>
      <c r="B1317" s="5" t="n"/>
      <c r="C1317" s="5" t="n"/>
      <c r="D1317" s="5" t="n"/>
      <c r="E1317" s="5" t="n"/>
      <c r="F1317" s="5" t="n"/>
      <c r="G1317" s="5" t="n"/>
      <c r="H1317" s="5" t="n"/>
      <c r="I1317" s="5" t="n"/>
    </row>
    <row r="1318" ht="45" customHeight="1">
      <c r="A1318" s="11" t="inlineStr">
        <is>
          <t>Top available score here: Kimi K2.6 at 92.5 F1. At that level, the model is solving multi-hop research answers from web evidence.</t>
        </is>
      </c>
      <c r="B1318" s="5" t="n"/>
      <c r="C1318" s="5" t="n"/>
      <c r="D1318" s="5" t="n"/>
      <c r="E1318" s="5" t="n"/>
      <c r="F1318" s="5" t="n"/>
      <c r="G1318" s="5" t="n"/>
      <c r="H1318" s="5" t="n"/>
      <c r="I1318" s="5" t="n"/>
    </row>
    <row r="1319" ht="45" customHeight="1">
      <c r="A1319" s="5" t="n"/>
      <c r="B1319" s="5" t="n"/>
      <c r="C1319" s="5" t="n"/>
      <c r="D1319" s="5" t="n"/>
      <c r="E1319" s="5" t="n"/>
      <c r="F1319" s="5" t="n"/>
      <c r="G1319" s="5" t="n"/>
      <c r="H1319" s="5" t="n"/>
      <c r="I1319" s="5" t="n"/>
    </row>
    <row r="1320" ht="45" customHeight="1">
      <c r="A1320" s="5" t="n"/>
      <c r="B1320" s="5" t="n"/>
      <c r="C1320" s="5" t="n"/>
      <c r="D1320" s="5" t="n"/>
      <c r="E1320" s="5" t="n"/>
      <c r="F1320" s="5" t="n"/>
      <c r="G1320" s="5" t="n"/>
      <c r="H1320" s="5" t="n"/>
      <c r="I1320" s="5" t="n"/>
    </row>
    <row r="1322">
      <c r="A1322" s="4" t="inlineStr">
        <is>
          <t>Similar tests and differences</t>
        </is>
      </c>
      <c r="B1322" s="5" t="n"/>
      <c r="C1322" s="5" t="n"/>
      <c r="D1322" s="5" t="n"/>
      <c r="E1322" s="5" t="n"/>
      <c r="F1322" s="5" t="n"/>
      <c r="G1322" s="5" t="n"/>
      <c r="H1322" s="5" t="n"/>
      <c r="I1322" s="5" t="n"/>
    </row>
    <row r="1323" ht="45" customHeight="1">
      <c r="A1323" s="11" t="inlineStr">
        <is>
          <t>Similar to BrowseComp but framed as QA quality.</t>
        </is>
      </c>
      <c r="B1323" s="5" t="n"/>
      <c r="C1323" s="5" t="n"/>
      <c r="D1323" s="5" t="n"/>
      <c r="E1323" s="5" t="n"/>
      <c r="F1323" s="5" t="n"/>
      <c r="G1323" s="5" t="n"/>
      <c r="H1323" s="5" t="n"/>
      <c r="I1323" s="5" t="n"/>
    </row>
    <row r="1324" ht="45" customHeight="1">
      <c r="A1324" s="5" t="n"/>
      <c r="B1324" s="5" t="n"/>
      <c r="C1324" s="5" t="n"/>
      <c r="D1324" s="5" t="n"/>
      <c r="E1324" s="5" t="n"/>
      <c r="F1324" s="5" t="n"/>
      <c r="G1324" s="5" t="n"/>
      <c r="H1324" s="5" t="n"/>
      <c r="I1324" s="5" t="n"/>
    </row>
    <row r="1325" ht="45" customHeight="1">
      <c r="A1325" s="5" t="n"/>
      <c r="B1325" s="5" t="n"/>
      <c r="C1325" s="5" t="n"/>
      <c r="D1325" s="5" t="n"/>
      <c r="E1325" s="5" t="n"/>
      <c r="F1325" s="5" t="n"/>
      <c r="G1325" s="5" t="n"/>
      <c r="H1325" s="5" t="n"/>
      <c r="I1325" s="5" t="n"/>
    </row>
    <row r="1329">
      <c r="A1329" s="9" t="inlineStr">
        <is>
          <t>Toolathlon | 4 - Tool use</t>
        </is>
      </c>
    </row>
    <row r="1330">
      <c r="A1330" s="10" t="inlineStr">
        <is>
          <t>Model</t>
        </is>
      </c>
      <c r="B1330" s="10" t="inlineStr">
        <is>
          <t>Score</t>
        </is>
      </c>
      <c r="C1330" s="10" t="inlineStr">
        <is>
          <t>Unit</t>
        </is>
      </c>
      <c r="D1330" s="10" t="inlineStr">
        <is>
          <t>Source</t>
        </is>
      </c>
    </row>
    <row r="1331">
      <c r="A1331" t="inlineStr">
        <is>
          <t>ChatGPT 5.5</t>
        </is>
      </c>
      <c r="B1331" t="n">
        <v>55.6</v>
      </c>
      <c r="C1331" t="inlineStr">
        <is>
          <t>% pass</t>
        </is>
      </c>
      <c r="D1331" t="inlineStr">
        <is>
          <t>OpenAI - Introducing GPT-5.5</t>
        </is>
      </c>
    </row>
    <row r="1332">
      <c r="A1332" t="inlineStr">
        <is>
          <t>MiniMax M2.7</t>
        </is>
      </c>
      <c r="B1332" t="n">
        <v>46.3</v>
      </c>
      <c r="C1332" t="inlineStr">
        <is>
          <t>% pass</t>
        </is>
      </c>
      <c r="D1332" t="inlineStr">
        <is>
          <t>NVIDIA NIM - MiniMax M2.7 model card</t>
        </is>
      </c>
    </row>
    <row r="1333">
      <c r="A1333" t="inlineStr">
        <is>
          <t>Kimi K2.6</t>
        </is>
      </c>
      <c r="B1333" t="n">
        <v>50</v>
      </c>
      <c r="C1333" t="inlineStr">
        <is>
          <t>% pass</t>
        </is>
      </c>
      <c r="D1333" t="inlineStr">
        <is>
          <t>Moonshot AI - Kimi K2.6 Hugging Face model card</t>
        </is>
      </c>
    </row>
    <row r="1334">
      <c r="A1334" t="inlineStr">
        <is>
          <t>DeepSeek V4-Pro Max</t>
        </is>
      </c>
      <c r="B1334" t="n">
        <v>51.8</v>
      </c>
      <c r="C1334" t="inlineStr">
        <is>
          <t>% pass</t>
        </is>
      </c>
      <c r="D1334" t="inlineStr">
        <is>
          <t>DeepSeek - DeepSeek-V4-Pro Hugging Face model card</t>
        </is>
      </c>
    </row>
    <row r="1341">
      <c r="A1341" s="4" t="inlineStr">
        <is>
          <t>What is</t>
        </is>
      </c>
      <c r="B1341" s="5" t="n"/>
      <c r="C1341" s="5" t="n"/>
      <c r="D1341" s="5" t="n"/>
      <c r="E1341" s="5" t="n"/>
      <c r="F1341" s="5" t="n"/>
      <c r="G1341" s="5" t="n"/>
      <c r="H1341" s="5" t="n"/>
      <c r="I1341" s="5" t="n"/>
    </row>
    <row r="1342" ht="45" customHeight="1">
      <c r="A1342" s="11" t="inlineStr">
        <is>
          <t>A benchmark for choosing and using tools correctly.</t>
        </is>
      </c>
      <c r="B1342" s="5" t="n"/>
      <c r="C1342" s="5" t="n"/>
      <c r="D1342" s="5" t="n"/>
      <c r="E1342" s="5" t="n"/>
      <c r="F1342" s="5" t="n"/>
      <c r="G1342" s="5" t="n"/>
      <c r="H1342" s="5" t="n"/>
      <c r="I1342" s="5" t="n"/>
    </row>
    <row r="1343" ht="45" customHeight="1">
      <c r="A1343" s="5" t="n"/>
      <c r="B1343" s="5" t="n"/>
      <c r="C1343" s="5" t="n"/>
      <c r="D1343" s="5" t="n"/>
      <c r="E1343" s="5" t="n"/>
      <c r="F1343" s="5" t="n"/>
      <c r="G1343" s="5" t="n"/>
      <c r="H1343" s="5" t="n"/>
      <c r="I1343" s="5" t="n"/>
    </row>
    <row r="1344" ht="45" customHeight="1">
      <c r="A1344" s="5" t="n"/>
      <c r="B1344" s="5" t="n"/>
      <c r="C1344" s="5" t="n"/>
      <c r="D1344" s="5" t="n"/>
      <c r="E1344" s="5" t="n"/>
      <c r="F1344" s="5" t="n"/>
      <c r="G1344" s="5" t="n"/>
      <c r="H1344" s="5" t="n"/>
      <c r="I1344" s="5" t="n"/>
    </row>
    <row r="1346">
      <c r="A1346" s="4" t="inlineStr">
        <is>
          <t>Explain for 11</t>
        </is>
      </c>
      <c r="B1346" s="5" t="n"/>
      <c r="C1346" s="5" t="n"/>
      <c r="D1346" s="5" t="n"/>
      <c r="E1346" s="5" t="n"/>
      <c r="F1346" s="5" t="n"/>
      <c r="G1346" s="5" t="n"/>
      <c r="H1346" s="5" t="n"/>
      <c r="I1346" s="5" t="n"/>
    </row>
    <row r="1347" ht="45" customHeight="1">
      <c r="A1347" s="11" t="inlineStr">
        <is>
          <t>The AI has a toolbox and must pick the right tool for each job.</t>
        </is>
      </c>
      <c r="B1347" s="5" t="n"/>
      <c r="C1347" s="5" t="n"/>
      <c r="D1347" s="5" t="n"/>
      <c r="E1347" s="5" t="n"/>
      <c r="F1347" s="5" t="n"/>
      <c r="G1347" s="5" t="n"/>
      <c r="H1347" s="5" t="n"/>
      <c r="I1347" s="5" t="n"/>
    </row>
    <row r="1348" ht="45" customHeight="1">
      <c r="A1348" s="5" t="n"/>
      <c r="B1348" s="5" t="n"/>
      <c r="C1348" s="5" t="n"/>
      <c r="D1348" s="5" t="n"/>
      <c r="E1348" s="5" t="n"/>
      <c r="F1348" s="5" t="n"/>
      <c r="G1348" s="5" t="n"/>
      <c r="H1348" s="5" t="n"/>
      <c r="I1348" s="5" t="n"/>
    </row>
    <row r="1349" ht="45" customHeight="1">
      <c r="A1349" s="5" t="n"/>
      <c r="B1349" s="5" t="n"/>
      <c r="C1349" s="5" t="n"/>
      <c r="D1349" s="5" t="n"/>
      <c r="E1349" s="5" t="n"/>
      <c r="F1349" s="5" t="n"/>
      <c r="G1349" s="5" t="n"/>
      <c r="H1349" s="5" t="n"/>
      <c r="I1349" s="5" t="n"/>
    </row>
    <row r="1351">
      <c r="A1351" s="4" t="inlineStr">
        <is>
          <t>Top-score example</t>
        </is>
      </c>
      <c r="B1351" s="5" t="n"/>
      <c r="C1351" s="5" t="n"/>
      <c r="D1351" s="5" t="n"/>
      <c r="E1351" s="5" t="n"/>
      <c r="F1351" s="5" t="n"/>
      <c r="G1351" s="5" t="n"/>
      <c r="H1351" s="5" t="n"/>
      <c r="I1351" s="5" t="n"/>
    </row>
    <row r="1352" ht="45" customHeight="1">
      <c r="A1352" s="11" t="inlineStr">
        <is>
          <t>Top available score here: ChatGPT 5.5 at 55.6 % pass. At that level, the model is solving multi-step tool workflows such as search, calculation, and file actions.</t>
        </is>
      </c>
      <c r="B1352" s="5" t="n"/>
      <c r="C1352" s="5" t="n"/>
      <c r="D1352" s="5" t="n"/>
      <c r="E1352" s="5" t="n"/>
      <c r="F1352" s="5" t="n"/>
      <c r="G1352" s="5" t="n"/>
      <c r="H1352" s="5" t="n"/>
      <c r="I1352" s="5" t="n"/>
    </row>
    <row r="1353" ht="45" customHeight="1">
      <c r="A1353" s="5" t="n"/>
      <c r="B1353" s="5" t="n"/>
      <c r="C1353" s="5" t="n"/>
      <c r="D1353" s="5" t="n"/>
      <c r="E1353" s="5" t="n"/>
      <c r="F1353" s="5" t="n"/>
      <c r="G1353" s="5" t="n"/>
      <c r="H1353" s="5" t="n"/>
      <c r="I1353" s="5" t="n"/>
    </row>
    <row r="1354" ht="45" customHeight="1">
      <c r="A1354" s="5" t="n"/>
      <c r="B1354" s="5" t="n"/>
      <c r="C1354" s="5" t="n"/>
      <c r="D1354" s="5" t="n"/>
      <c r="E1354" s="5" t="n"/>
      <c r="F1354" s="5" t="n"/>
      <c r="G1354" s="5" t="n"/>
      <c r="H1354" s="5" t="n"/>
      <c r="I1354" s="5" t="n"/>
    </row>
    <row r="1356">
      <c r="A1356" s="4" t="inlineStr">
        <is>
          <t>Similar tests and differences</t>
        </is>
      </c>
      <c r="B1356" s="5" t="n"/>
      <c r="C1356" s="5" t="n"/>
      <c r="D1356" s="5" t="n"/>
      <c r="E1356" s="5" t="n"/>
      <c r="F1356" s="5" t="n"/>
      <c r="G1356" s="5" t="n"/>
      <c r="H1356" s="5" t="n"/>
      <c r="I1356" s="5" t="n"/>
    </row>
    <row r="1357" ht="45" customHeight="1">
      <c r="A1357" s="11" t="inlineStr">
        <is>
          <t>Related to Tool-Decathlon; exact tool set and scoring differ.</t>
        </is>
      </c>
      <c r="B1357" s="5" t="n"/>
      <c r="C1357" s="5" t="n"/>
      <c r="D1357" s="5" t="n"/>
      <c r="E1357" s="5" t="n"/>
      <c r="F1357" s="5" t="n"/>
      <c r="G1357" s="5" t="n"/>
      <c r="H1357" s="5" t="n"/>
      <c r="I1357" s="5" t="n"/>
    </row>
    <row r="1358" ht="45" customHeight="1">
      <c r="A1358" s="5" t="n"/>
      <c r="B1358" s="5" t="n"/>
      <c r="C1358" s="5" t="n"/>
      <c r="D1358" s="5" t="n"/>
      <c r="E1358" s="5" t="n"/>
      <c r="F1358" s="5" t="n"/>
      <c r="G1358" s="5" t="n"/>
      <c r="H1358" s="5" t="n"/>
      <c r="I1358" s="5" t="n"/>
    </row>
    <row r="1359" ht="45" customHeight="1">
      <c r="A1359" s="5" t="n"/>
      <c r="B1359" s="5" t="n"/>
      <c r="C1359" s="5" t="n"/>
      <c r="D1359" s="5" t="n"/>
      <c r="E1359" s="5" t="n"/>
      <c r="F1359" s="5" t="n"/>
      <c r="G1359" s="5" t="n"/>
      <c r="H1359" s="5" t="n"/>
      <c r="I1359" s="5" t="n"/>
    </row>
    <row r="1363">
      <c r="A1363" s="9" t="inlineStr">
        <is>
          <t>Tool-Decathlon | 4 - Tool use</t>
        </is>
      </c>
    </row>
    <row r="1364">
      <c r="A1364" s="10" t="inlineStr">
        <is>
          <t>Model</t>
        </is>
      </c>
      <c r="B1364" s="10" t="inlineStr">
        <is>
          <t>Score</t>
        </is>
      </c>
      <c r="C1364" s="10" t="inlineStr">
        <is>
          <t>Unit</t>
        </is>
      </c>
      <c r="D1364" s="10" t="inlineStr">
        <is>
          <t>Source</t>
        </is>
      </c>
    </row>
    <row r="1365">
      <c r="A1365" t="inlineStr">
        <is>
          <t>GLM-5.1</t>
        </is>
      </c>
      <c r="B1365" t="n">
        <v>40.7</v>
      </c>
      <c r="C1365" t="inlineStr">
        <is>
          <t>% pass</t>
        </is>
      </c>
      <c r="D1365" t="inlineStr">
        <is>
          <t>NVIDIA NIM - GLM-5.1 model card</t>
        </is>
      </c>
    </row>
    <row r="1375">
      <c r="A1375" s="4" t="inlineStr">
        <is>
          <t>What is</t>
        </is>
      </c>
      <c r="B1375" s="5" t="n"/>
      <c r="C1375" s="5" t="n"/>
      <c r="D1375" s="5" t="n"/>
      <c r="E1375" s="5" t="n"/>
      <c r="F1375" s="5" t="n"/>
      <c r="G1375" s="5" t="n"/>
      <c r="H1375" s="5" t="n"/>
      <c r="I1375" s="5" t="n"/>
    </row>
    <row r="1376" ht="45" customHeight="1">
      <c r="A1376" s="11" t="inlineStr">
        <is>
          <t>A ten-event tool-use benchmark.</t>
        </is>
      </c>
      <c r="B1376" s="5" t="n"/>
      <c r="C1376" s="5" t="n"/>
      <c r="D1376" s="5" t="n"/>
      <c r="E1376" s="5" t="n"/>
      <c r="F1376" s="5" t="n"/>
      <c r="G1376" s="5" t="n"/>
      <c r="H1376" s="5" t="n"/>
      <c r="I1376" s="5" t="n"/>
    </row>
    <row r="1377" ht="45" customHeight="1">
      <c r="A1377" s="5" t="n"/>
      <c r="B1377" s="5" t="n"/>
      <c r="C1377" s="5" t="n"/>
      <c r="D1377" s="5" t="n"/>
      <c r="E1377" s="5" t="n"/>
      <c r="F1377" s="5" t="n"/>
      <c r="G1377" s="5" t="n"/>
      <c r="H1377" s="5" t="n"/>
      <c r="I1377" s="5" t="n"/>
    </row>
    <row r="1378" ht="45" customHeight="1">
      <c r="A1378" s="5" t="n"/>
      <c r="B1378" s="5" t="n"/>
      <c r="C1378" s="5" t="n"/>
      <c r="D1378" s="5" t="n"/>
      <c r="E1378" s="5" t="n"/>
      <c r="F1378" s="5" t="n"/>
      <c r="G1378" s="5" t="n"/>
      <c r="H1378" s="5" t="n"/>
      <c r="I1378" s="5" t="n"/>
    </row>
    <row r="1380">
      <c r="A1380" s="4" t="inlineStr">
        <is>
          <t>Explain for 11</t>
        </is>
      </c>
      <c r="B1380" s="5" t="n"/>
      <c r="C1380" s="5" t="n"/>
      <c r="D1380" s="5" t="n"/>
      <c r="E1380" s="5" t="n"/>
      <c r="F1380" s="5" t="n"/>
      <c r="G1380" s="5" t="n"/>
      <c r="H1380" s="5" t="n"/>
      <c r="I1380" s="5" t="n"/>
    </row>
    <row r="1381" ht="45" customHeight="1">
      <c r="A1381" s="11" t="inlineStr">
        <is>
          <t>A decathlon for tools: many different tool events, one overall score.</t>
        </is>
      </c>
      <c r="B1381" s="5" t="n"/>
      <c r="C1381" s="5" t="n"/>
      <c r="D1381" s="5" t="n"/>
      <c r="E1381" s="5" t="n"/>
      <c r="F1381" s="5" t="n"/>
      <c r="G1381" s="5" t="n"/>
      <c r="H1381" s="5" t="n"/>
      <c r="I1381" s="5" t="n"/>
    </row>
    <row r="1382" ht="45" customHeight="1">
      <c r="A1382" s="5" t="n"/>
      <c r="B1382" s="5" t="n"/>
      <c r="C1382" s="5" t="n"/>
      <c r="D1382" s="5" t="n"/>
      <c r="E1382" s="5" t="n"/>
      <c r="F1382" s="5" t="n"/>
      <c r="G1382" s="5" t="n"/>
      <c r="H1382" s="5" t="n"/>
      <c r="I1382" s="5" t="n"/>
    </row>
    <row r="1383" ht="45" customHeight="1">
      <c r="A1383" s="5" t="n"/>
      <c r="B1383" s="5" t="n"/>
      <c r="C1383" s="5" t="n"/>
      <c r="D1383" s="5" t="n"/>
      <c r="E1383" s="5" t="n"/>
      <c r="F1383" s="5" t="n"/>
      <c r="G1383" s="5" t="n"/>
      <c r="H1383" s="5" t="n"/>
      <c r="I1383" s="5" t="n"/>
    </row>
    <row r="1385">
      <c r="A1385" s="4" t="inlineStr">
        <is>
          <t>Top-score example</t>
        </is>
      </c>
      <c r="B1385" s="5" t="n"/>
      <c r="C1385" s="5" t="n"/>
      <c r="D1385" s="5" t="n"/>
      <c r="E1385" s="5" t="n"/>
      <c r="F1385" s="5" t="n"/>
      <c r="G1385" s="5" t="n"/>
      <c r="H1385" s="5" t="n"/>
      <c r="I1385" s="5" t="n"/>
    </row>
    <row r="1386" ht="45" customHeight="1">
      <c r="A1386" s="11" t="inlineStr">
        <is>
          <t>Top available score here: GLM-5.1 at 40.7 % pass. At that level, the model is solving diverse tool calls across task types.</t>
        </is>
      </c>
      <c r="B1386" s="5" t="n"/>
      <c r="C1386" s="5" t="n"/>
      <c r="D1386" s="5" t="n"/>
      <c r="E1386" s="5" t="n"/>
      <c r="F1386" s="5" t="n"/>
      <c r="G1386" s="5" t="n"/>
      <c r="H1386" s="5" t="n"/>
      <c r="I1386" s="5" t="n"/>
    </row>
    <row r="1387" ht="45" customHeight="1">
      <c r="A1387" s="5" t="n"/>
      <c r="B1387" s="5" t="n"/>
      <c r="C1387" s="5" t="n"/>
      <c r="D1387" s="5" t="n"/>
      <c r="E1387" s="5" t="n"/>
      <c r="F1387" s="5" t="n"/>
      <c r="G1387" s="5" t="n"/>
      <c r="H1387" s="5" t="n"/>
      <c r="I1387" s="5" t="n"/>
    </row>
    <row r="1388" ht="45" customHeight="1">
      <c r="A1388" s="5" t="n"/>
      <c r="B1388" s="5" t="n"/>
      <c r="C1388" s="5" t="n"/>
      <c r="D1388" s="5" t="n"/>
      <c r="E1388" s="5" t="n"/>
      <c r="F1388" s="5" t="n"/>
      <c r="G1388" s="5" t="n"/>
      <c r="H1388" s="5" t="n"/>
      <c r="I1388" s="5" t="n"/>
    </row>
    <row r="1390">
      <c r="A1390" s="4" t="inlineStr">
        <is>
          <t>Similar tests and differences</t>
        </is>
      </c>
      <c r="B1390" s="5" t="n"/>
      <c r="C1390" s="5" t="n"/>
      <c r="D1390" s="5" t="n"/>
      <c r="E1390" s="5" t="n"/>
      <c r="F1390" s="5" t="n"/>
      <c r="G1390" s="5" t="n"/>
      <c r="H1390" s="5" t="n"/>
      <c r="I1390" s="5" t="n"/>
    </row>
    <row r="1391" ht="45" customHeight="1">
      <c r="A1391" s="11" t="inlineStr">
        <is>
          <t>Similar to Toolathlon but organized as a ten-part suite.</t>
        </is>
      </c>
      <c r="B1391" s="5" t="n"/>
      <c r="C1391" s="5" t="n"/>
      <c r="D1391" s="5" t="n"/>
      <c r="E1391" s="5" t="n"/>
      <c r="F1391" s="5" t="n"/>
      <c r="G1391" s="5" t="n"/>
      <c r="H1391" s="5" t="n"/>
      <c r="I1391" s="5" t="n"/>
    </row>
    <row r="1392" ht="45" customHeight="1">
      <c r="A1392" s="5" t="n"/>
      <c r="B1392" s="5" t="n"/>
      <c r="C1392" s="5" t="n"/>
      <c r="D1392" s="5" t="n"/>
      <c r="E1392" s="5" t="n"/>
      <c r="F1392" s="5" t="n"/>
      <c r="G1392" s="5" t="n"/>
      <c r="H1392" s="5" t="n"/>
      <c r="I1392" s="5" t="n"/>
    </row>
    <row r="1393" ht="45" customHeight="1">
      <c r="A1393" s="5" t="n"/>
      <c r="B1393" s="5" t="n"/>
      <c r="C1393" s="5" t="n"/>
      <c r="D1393" s="5" t="n"/>
      <c r="E1393" s="5" t="n"/>
      <c r="F1393" s="5" t="n"/>
      <c r="G1393" s="5" t="n"/>
      <c r="H1393" s="5" t="n"/>
      <c r="I1393" s="5" t="n"/>
    </row>
    <row r="1397">
      <c r="A1397" s="9" t="inlineStr">
        <is>
          <t>MCP-Atlas Public | 5 - Tool orchestration</t>
        </is>
      </c>
    </row>
    <row r="1398">
      <c r="A1398" s="10" t="inlineStr">
        <is>
          <t>Model</t>
        </is>
      </c>
      <c r="B1398" s="10" t="inlineStr">
        <is>
          <t>Score</t>
        </is>
      </c>
      <c r="C1398" s="10" t="inlineStr">
        <is>
          <t>Unit</t>
        </is>
      </c>
      <c r="D1398" s="10" t="inlineStr">
        <is>
          <t>Source</t>
        </is>
      </c>
    </row>
    <row r="1399">
      <c r="A1399" t="inlineStr">
        <is>
          <t>Claude Opus 4.7</t>
        </is>
      </c>
      <c r="B1399" t="n">
        <v>77.3</v>
      </c>
      <c r="C1399" t="inlineStr">
        <is>
          <t>% pass</t>
        </is>
      </c>
      <c r="D1399" t="inlineStr">
        <is>
          <t>Hokai - Claude Opus 4.7 benchmark summary</t>
        </is>
      </c>
    </row>
    <row r="1400">
      <c r="A1400" t="inlineStr">
        <is>
          <t>DeepSeek V4-Pro Max</t>
        </is>
      </c>
      <c r="B1400" t="n">
        <v>73.59999999999999</v>
      </c>
      <c r="C1400" t="inlineStr">
        <is>
          <t>% pass</t>
        </is>
      </c>
      <c r="D1400" t="inlineStr">
        <is>
          <t>DeepSeek - DeepSeek-V4-Pro Hugging Face model card</t>
        </is>
      </c>
    </row>
    <row r="1401">
      <c r="A1401" t="inlineStr">
        <is>
          <t>GLM-5.1</t>
        </is>
      </c>
      <c r="B1401" t="n">
        <v>71.8</v>
      </c>
      <c r="C1401" t="inlineStr">
        <is>
          <t>% pass</t>
        </is>
      </c>
      <c r="D1401" t="inlineStr">
        <is>
          <t>NVIDIA NIM - GLM-5.1 model card</t>
        </is>
      </c>
    </row>
    <row r="1409">
      <c r="A1409" s="4" t="inlineStr">
        <is>
          <t>What is</t>
        </is>
      </c>
      <c r="B1409" s="5" t="n"/>
      <c r="C1409" s="5" t="n"/>
      <c r="D1409" s="5" t="n"/>
      <c r="E1409" s="5" t="n"/>
      <c r="F1409" s="5" t="n"/>
      <c r="G1409" s="5" t="n"/>
      <c r="H1409" s="5" t="n"/>
      <c r="I1409" s="5" t="n"/>
    </row>
    <row r="1410" ht="45" customHeight="1">
      <c r="A1410" s="11" t="inlineStr">
        <is>
          <t>Multi-tool orchestration using Model Context Protocol-style tasks.</t>
        </is>
      </c>
      <c r="B1410" s="5" t="n"/>
      <c r="C1410" s="5" t="n"/>
      <c r="D1410" s="5" t="n"/>
      <c r="E1410" s="5" t="n"/>
      <c r="F1410" s="5" t="n"/>
      <c r="G1410" s="5" t="n"/>
      <c r="H1410" s="5" t="n"/>
      <c r="I1410" s="5" t="n"/>
    </row>
    <row r="1411" ht="45" customHeight="1">
      <c r="A1411" s="5" t="n"/>
      <c r="B1411" s="5" t="n"/>
      <c r="C1411" s="5" t="n"/>
      <c r="D1411" s="5" t="n"/>
      <c r="E1411" s="5" t="n"/>
      <c r="F1411" s="5" t="n"/>
      <c r="G1411" s="5" t="n"/>
      <c r="H1411" s="5" t="n"/>
      <c r="I1411" s="5" t="n"/>
    </row>
    <row r="1412" ht="45" customHeight="1">
      <c r="A1412" s="5" t="n"/>
      <c r="B1412" s="5" t="n"/>
      <c r="C1412" s="5" t="n"/>
      <c r="D1412" s="5" t="n"/>
      <c r="E1412" s="5" t="n"/>
      <c r="F1412" s="5" t="n"/>
      <c r="G1412" s="5" t="n"/>
      <c r="H1412" s="5" t="n"/>
      <c r="I1412" s="5" t="n"/>
    </row>
    <row r="1414">
      <c r="A1414" s="4" t="inlineStr">
        <is>
          <t>Explain for 11</t>
        </is>
      </c>
      <c r="B1414" s="5" t="n"/>
      <c r="C1414" s="5" t="n"/>
      <c r="D1414" s="5" t="n"/>
      <c r="E1414" s="5" t="n"/>
      <c r="F1414" s="5" t="n"/>
      <c r="G1414" s="5" t="n"/>
      <c r="H1414" s="5" t="n"/>
      <c r="I1414" s="5" t="n"/>
    </row>
    <row r="1415" ht="45" customHeight="1">
      <c r="A1415" s="11" t="inlineStr">
        <is>
          <t>The AI has to coordinate many connected tools without mixing them up.</t>
        </is>
      </c>
      <c r="B1415" s="5" t="n"/>
      <c r="C1415" s="5" t="n"/>
      <c r="D1415" s="5" t="n"/>
      <c r="E1415" s="5" t="n"/>
      <c r="F1415" s="5" t="n"/>
      <c r="G1415" s="5" t="n"/>
      <c r="H1415" s="5" t="n"/>
      <c r="I1415" s="5" t="n"/>
    </row>
    <row r="1416" ht="45" customHeight="1">
      <c r="A1416" s="5" t="n"/>
      <c r="B1416" s="5" t="n"/>
      <c r="C1416" s="5" t="n"/>
      <c r="D1416" s="5" t="n"/>
      <c r="E1416" s="5" t="n"/>
      <c r="F1416" s="5" t="n"/>
      <c r="G1416" s="5" t="n"/>
      <c r="H1416" s="5" t="n"/>
      <c r="I1416" s="5" t="n"/>
    </row>
    <row r="1417" ht="45" customHeight="1">
      <c r="A1417" s="5" t="n"/>
      <c r="B1417" s="5" t="n"/>
      <c r="C1417" s="5" t="n"/>
      <c r="D1417" s="5" t="n"/>
      <c r="E1417" s="5" t="n"/>
      <c r="F1417" s="5" t="n"/>
      <c r="G1417" s="5" t="n"/>
      <c r="H1417" s="5" t="n"/>
      <c r="I1417" s="5" t="n"/>
    </row>
    <row r="1419">
      <c r="A1419" s="4" t="inlineStr">
        <is>
          <t>Top-score example</t>
        </is>
      </c>
      <c r="B1419" s="5" t="n"/>
      <c r="C1419" s="5" t="n"/>
      <c r="D1419" s="5" t="n"/>
      <c r="E1419" s="5" t="n"/>
      <c r="F1419" s="5" t="n"/>
      <c r="G1419" s="5" t="n"/>
      <c r="H1419" s="5" t="n"/>
      <c r="I1419" s="5" t="n"/>
    </row>
    <row r="1420" ht="45" customHeight="1">
      <c r="A1420" s="11" t="inlineStr">
        <is>
          <t>Top available score here: Claude Opus 4.7 at 77.3 % pass. At that level, the model is solving multi-step work across connected apps, data, and tools.</t>
        </is>
      </c>
      <c r="B1420" s="5" t="n"/>
      <c r="C1420" s="5" t="n"/>
      <c r="D1420" s="5" t="n"/>
      <c r="E1420" s="5" t="n"/>
      <c r="F1420" s="5" t="n"/>
      <c r="G1420" s="5" t="n"/>
      <c r="H1420" s="5" t="n"/>
      <c r="I1420" s="5" t="n"/>
    </row>
    <row r="1421" ht="45" customHeight="1">
      <c r="A1421" s="5" t="n"/>
      <c r="B1421" s="5" t="n"/>
      <c r="C1421" s="5" t="n"/>
      <c r="D1421" s="5" t="n"/>
      <c r="E1421" s="5" t="n"/>
      <c r="F1421" s="5" t="n"/>
      <c r="G1421" s="5" t="n"/>
      <c r="H1421" s="5" t="n"/>
      <c r="I1421" s="5" t="n"/>
    </row>
    <row r="1422" ht="45" customHeight="1">
      <c r="A1422" s="5" t="n"/>
      <c r="B1422" s="5" t="n"/>
      <c r="C1422" s="5" t="n"/>
      <c r="D1422" s="5" t="n"/>
      <c r="E1422" s="5" t="n"/>
      <c r="F1422" s="5" t="n"/>
      <c r="G1422" s="5" t="n"/>
      <c r="H1422" s="5" t="n"/>
      <c r="I1422" s="5" t="n"/>
    </row>
    <row r="1424">
      <c r="A1424" s="4" t="inlineStr">
        <is>
          <t>Similar tests and differences</t>
        </is>
      </c>
      <c r="B1424" s="5" t="n"/>
      <c r="C1424" s="5" t="n"/>
      <c r="D1424" s="5" t="n"/>
      <c r="E1424" s="5" t="n"/>
      <c r="F1424" s="5" t="n"/>
      <c r="G1424" s="5" t="n"/>
      <c r="H1424" s="5" t="n"/>
      <c r="I1424" s="5" t="n"/>
    </row>
    <row r="1425" ht="45" customHeight="1">
      <c r="A1425" s="11" t="inlineStr">
        <is>
          <t>More integration-focused than Toolathlon.</t>
        </is>
      </c>
      <c r="B1425" s="5" t="n"/>
      <c r="C1425" s="5" t="n"/>
      <c r="D1425" s="5" t="n"/>
      <c r="E1425" s="5" t="n"/>
      <c r="F1425" s="5" t="n"/>
      <c r="G1425" s="5" t="n"/>
      <c r="H1425" s="5" t="n"/>
      <c r="I1425" s="5" t="n"/>
    </row>
    <row r="1426" ht="45" customHeight="1">
      <c r="A1426" s="5" t="n"/>
      <c r="B1426" s="5" t="n"/>
      <c r="C1426" s="5" t="n"/>
      <c r="D1426" s="5" t="n"/>
      <c r="E1426" s="5" t="n"/>
      <c r="F1426" s="5" t="n"/>
      <c r="G1426" s="5" t="n"/>
      <c r="H1426" s="5" t="n"/>
      <c r="I1426" s="5" t="n"/>
    </row>
    <row r="1427" ht="45" customHeight="1">
      <c r="A1427" s="5" t="n"/>
      <c r="B1427" s="5" t="n"/>
      <c r="C1427" s="5" t="n"/>
      <c r="D1427" s="5" t="n"/>
      <c r="E1427" s="5" t="n"/>
      <c r="F1427" s="5" t="n"/>
      <c r="G1427" s="5" t="n"/>
      <c r="H1427" s="5" t="n"/>
      <c r="I1427" s="5" t="n"/>
    </row>
    <row r="1431">
      <c r="A1431" s="9" t="inlineStr">
        <is>
          <t>tau3-Bench | 5 - Customer workflow</t>
        </is>
      </c>
    </row>
    <row r="1432">
      <c r="A1432" s="10" t="inlineStr">
        <is>
          <t>Model</t>
        </is>
      </c>
      <c r="B1432" s="10" t="inlineStr">
        <is>
          <t>Score</t>
        </is>
      </c>
      <c r="C1432" s="10" t="inlineStr">
        <is>
          <t>Unit</t>
        </is>
      </c>
      <c r="D1432" s="10" t="inlineStr">
        <is>
          <t>Source</t>
        </is>
      </c>
    </row>
    <row r="1433">
      <c r="A1433" t="inlineStr">
        <is>
          <t>GLM-5.1</t>
        </is>
      </c>
      <c r="B1433" t="n">
        <v>70.59999999999999</v>
      </c>
      <c r="C1433" t="inlineStr">
        <is>
          <t>% pass</t>
        </is>
      </c>
      <c r="D1433" t="inlineStr">
        <is>
          <t>NVIDIA NIM - GLM-5.1 model card</t>
        </is>
      </c>
    </row>
    <row r="1443">
      <c r="A1443" s="4" t="inlineStr">
        <is>
          <t>What is</t>
        </is>
      </c>
      <c r="B1443" s="5" t="n"/>
      <c r="C1443" s="5" t="n"/>
      <c r="D1443" s="5" t="n"/>
      <c r="E1443" s="5" t="n"/>
      <c r="F1443" s="5" t="n"/>
      <c r="G1443" s="5" t="n"/>
      <c r="H1443" s="5" t="n"/>
      <c r="I1443" s="5" t="n"/>
    </row>
    <row r="1444" ht="45" customHeight="1">
      <c r="A1444" s="11" t="inlineStr">
        <is>
          <t>Tool-using conversational tasks with realistic service/workflow constraints.</t>
        </is>
      </c>
      <c r="B1444" s="5" t="n"/>
      <c r="C1444" s="5" t="n"/>
      <c r="D1444" s="5" t="n"/>
      <c r="E1444" s="5" t="n"/>
      <c r="F1444" s="5" t="n"/>
      <c r="G1444" s="5" t="n"/>
      <c r="H1444" s="5" t="n"/>
      <c r="I1444" s="5" t="n"/>
    </row>
    <row r="1445" ht="45" customHeight="1">
      <c r="A1445" s="5" t="n"/>
      <c r="B1445" s="5" t="n"/>
      <c r="C1445" s="5" t="n"/>
      <c r="D1445" s="5" t="n"/>
      <c r="E1445" s="5" t="n"/>
      <c r="F1445" s="5" t="n"/>
      <c r="G1445" s="5" t="n"/>
      <c r="H1445" s="5" t="n"/>
      <c r="I1445" s="5" t="n"/>
    </row>
    <row r="1446" ht="45" customHeight="1">
      <c r="A1446" s="5" t="n"/>
      <c r="B1446" s="5" t="n"/>
      <c r="C1446" s="5" t="n"/>
      <c r="D1446" s="5" t="n"/>
      <c r="E1446" s="5" t="n"/>
      <c r="F1446" s="5" t="n"/>
      <c r="G1446" s="5" t="n"/>
      <c r="H1446" s="5" t="n"/>
      <c r="I1446" s="5" t="n"/>
    </row>
    <row r="1448">
      <c r="A1448" s="4" t="inlineStr">
        <is>
          <t>Explain for 11</t>
        </is>
      </c>
      <c r="B1448" s="5" t="n"/>
      <c r="C1448" s="5" t="n"/>
      <c r="D1448" s="5" t="n"/>
      <c r="E1448" s="5" t="n"/>
      <c r="F1448" s="5" t="n"/>
      <c r="G1448" s="5" t="n"/>
      <c r="H1448" s="5" t="n"/>
      <c r="I1448" s="5" t="n"/>
    </row>
    <row r="1449" ht="45" customHeight="1">
      <c r="A1449" s="11" t="inlineStr">
        <is>
          <t>The AI handles a customer-style job while following rules and using tools.</t>
        </is>
      </c>
      <c r="B1449" s="5" t="n"/>
      <c r="C1449" s="5" t="n"/>
      <c r="D1449" s="5" t="n"/>
      <c r="E1449" s="5" t="n"/>
      <c r="F1449" s="5" t="n"/>
      <c r="G1449" s="5" t="n"/>
      <c r="H1449" s="5" t="n"/>
      <c r="I1449" s="5" t="n"/>
    </row>
    <row r="1450" ht="45" customHeight="1">
      <c r="A1450" s="5" t="n"/>
      <c r="B1450" s="5" t="n"/>
      <c r="C1450" s="5" t="n"/>
      <c r="D1450" s="5" t="n"/>
      <c r="E1450" s="5" t="n"/>
      <c r="F1450" s="5" t="n"/>
      <c r="G1450" s="5" t="n"/>
      <c r="H1450" s="5" t="n"/>
      <c r="I1450" s="5" t="n"/>
    </row>
    <row r="1451" ht="45" customHeight="1">
      <c r="A1451" s="5" t="n"/>
      <c r="B1451" s="5" t="n"/>
      <c r="C1451" s="5" t="n"/>
      <c r="D1451" s="5" t="n"/>
      <c r="E1451" s="5" t="n"/>
      <c r="F1451" s="5" t="n"/>
      <c r="G1451" s="5" t="n"/>
      <c r="H1451" s="5" t="n"/>
      <c r="I1451" s="5" t="n"/>
    </row>
    <row r="1453">
      <c r="A1453" s="4" t="inlineStr">
        <is>
          <t>Top-score example</t>
        </is>
      </c>
      <c r="B1453" s="5" t="n"/>
      <c r="C1453" s="5" t="n"/>
      <c r="D1453" s="5" t="n"/>
      <c r="E1453" s="5" t="n"/>
      <c r="F1453" s="5" t="n"/>
      <c r="G1453" s="5" t="n"/>
      <c r="H1453" s="5" t="n"/>
      <c r="I1453" s="5" t="n"/>
    </row>
    <row r="1454" ht="45" customHeight="1">
      <c r="A1454" s="11" t="inlineStr">
        <is>
          <t>Top available score here: GLM-5.1 at 70.6 % pass. At that level, the model is solving multi-turn service workflows with tool calls and policy constraints.</t>
        </is>
      </c>
      <c r="B1454" s="5" t="n"/>
      <c r="C1454" s="5" t="n"/>
      <c r="D1454" s="5" t="n"/>
      <c r="E1454" s="5" t="n"/>
      <c r="F1454" s="5" t="n"/>
      <c r="G1454" s="5" t="n"/>
      <c r="H1454" s="5" t="n"/>
      <c r="I1454" s="5" t="n"/>
    </row>
    <row r="1455" ht="45" customHeight="1">
      <c r="A1455" s="5" t="n"/>
      <c r="B1455" s="5" t="n"/>
      <c r="C1455" s="5" t="n"/>
      <c r="D1455" s="5" t="n"/>
      <c r="E1455" s="5" t="n"/>
      <c r="F1455" s="5" t="n"/>
      <c r="G1455" s="5" t="n"/>
      <c r="H1455" s="5" t="n"/>
      <c r="I1455" s="5" t="n"/>
    </row>
    <row r="1456" ht="45" customHeight="1">
      <c r="A1456" s="5" t="n"/>
      <c r="B1456" s="5" t="n"/>
      <c r="C1456" s="5" t="n"/>
      <c r="D1456" s="5" t="n"/>
      <c r="E1456" s="5" t="n"/>
      <c r="F1456" s="5" t="n"/>
      <c r="G1456" s="5" t="n"/>
      <c r="H1456" s="5" t="n"/>
      <c r="I1456" s="5" t="n"/>
    </row>
    <row r="1458">
      <c r="A1458" s="4" t="inlineStr">
        <is>
          <t>Similar tests and differences</t>
        </is>
      </c>
      <c r="B1458" s="5" t="n"/>
      <c r="C1458" s="5" t="n"/>
      <c r="D1458" s="5" t="n"/>
      <c r="E1458" s="5" t="n"/>
      <c r="F1458" s="5" t="n"/>
      <c r="G1458" s="5" t="n"/>
      <c r="H1458" s="5" t="n"/>
      <c r="I1458" s="5" t="n"/>
    </row>
    <row r="1459" ht="45" customHeight="1">
      <c r="A1459" s="11" t="inlineStr">
        <is>
          <t>More conversation/workflow-oriented than MCP-Atlas.</t>
        </is>
      </c>
      <c r="B1459" s="5" t="n"/>
      <c r="C1459" s="5" t="n"/>
      <c r="D1459" s="5" t="n"/>
      <c r="E1459" s="5" t="n"/>
      <c r="F1459" s="5" t="n"/>
      <c r="G1459" s="5" t="n"/>
      <c r="H1459" s="5" t="n"/>
      <c r="I1459" s="5" t="n"/>
    </row>
    <row r="1460" ht="45" customHeight="1">
      <c r="A1460" s="5" t="n"/>
      <c r="B1460" s="5" t="n"/>
      <c r="C1460" s="5" t="n"/>
      <c r="D1460" s="5" t="n"/>
      <c r="E1460" s="5" t="n"/>
      <c r="F1460" s="5" t="n"/>
      <c r="G1460" s="5" t="n"/>
      <c r="H1460" s="5" t="n"/>
      <c r="I1460" s="5" t="n"/>
    </row>
    <row r="1461" ht="45" customHeight="1">
      <c r="A1461" s="5" t="n"/>
      <c r="B1461" s="5" t="n"/>
      <c r="C1461" s="5" t="n"/>
      <c r="D1461" s="5" t="n"/>
      <c r="E1461" s="5" t="n"/>
      <c r="F1461" s="5" t="n"/>
      <c r="G1461" s="5" t="n"/>
      <c r="H1461" s="5" t="n"/>
      <c r="I1461" s="5" t="n"/>
    </row>
    <row r="1465">
      <c r="A1465" s="9" t="inlineStr">
        <is>
          <t>MM Claw | 5 - Complex agent skills</t>
        </is>
      </c>
    </row>
    <row r="1466">
      <c r="A1466" s="10" t="inlineStr">
        <is>
          <t>Model</t>
        </is>
      </c>
      <c r="B1466" s="10" t="inlineStr">
        <is>
          <t>Score</t>
        </is>
      </c>
      <c r="C1466" s="10" t="inlineStr">
        <is>
          <t>Unit</t>
        </is>
      </c>
      <c r="D1466" s="10" t="inlineStr">
        <is>
          <t>Source</t>
        </is>
      </c>
    </row>
    <row r="1467">
      <c r="A1467" t="inlineStr">
        <is>
          <t>MiniMax M2.7</t>
        </is>
      </c>
      <c r="B1467" t="n">
        <v>62.7</v>
      </c>
      <c r="C1467" t="inlineStr">
        <is>
          <t>% score</t>
        </is>
      </c>
      <c r="D1467" t="inlineStr">
        <is>
          <t>NVIDIA NIM - MiniMax M2.7 model card</t>
        </is>
      </c>
    </row>
    <row r="1477">
      <c r="A1477" s="4" t="inlineStr">
        <is>
          <t>What is</t>
        </is>
      </c>
      <c r="B1477" s="5" t="n"/>
      <c r="C1477" s="5" t="n"/>
      <c r="D1477" s="5" t="n"/>
      <c r="E1477" s="5" t="n"/>
      <c r="F1477" s="5" t="n"/>
      <c r="G1477" s="5" t="n"/>
      <c r="H1477" s="5" t="n"/>
      <c r="I1477" s="5" t="n"/>
    </row>
    <row r="1478" ht="45" customHeight="1">
      <c r="A1478" s="11" t="inlineStr">
        <is>
          <t>A benchmark for complex skill execution by agents.</t>
        </is>
      </c>
      <c r="B1478" s="5" t="n"/>
      <c r="C1478" s="5" t="n"/>
      <c r="D1478" s="5" t="n"/>
      <c r="E1478" s="5" t="n"/>
      <c r="F1478" s="5" t="n"/>
      <c r="G1478" s="5" t="n"/>
      <c r="H1478" s="5" t="n"/>
      <c r="I1478" s="5" t="n"/>
    </row>
    <row r="1479" ht="45" customHeight="1">
      <c r="A1479" s="5" t="n"/>
      <c r="B1479" s="5" t="n"/>
      <c r="C1479" s="5" t="n"/>
      <c r="D1479" s="5" t="n"/>
      <c r="E1479" s="5" t="n"/>
      <c r="F1479" s="5" t="n"/>
      <c r="G1479" s="5" t="n"/>
      <c r="H1479" s="5" t="n"/>
      <c r="I1479" s="5" t="n"/>
    </row>
    <row r="1480" ht="45" customHeight="1">
      <c r="A1480" s="5" t="n"/>
      <c r="B1480" s="5" t="n"/>
      <c r="C1480" s="5" t="n"/>
      <c r="D1480" s="5" t="n"/>
      <c r="E1480" s="5" t="n"/>
      <c r="F1480" s="5" t="n"/>
      <c r="G1480" s="5" t="n"/>
      <c r="H1480" s="5" t="n"/>
      <c r="I1480" s="5" t="n"/>
    </row>
    <row r="1482">
      <c r="A1482" s="4" t="inlineStr">
        <is>
          <t>Explain for 11</t>
        </is>
      </c>
      <c r="B1482" s="5" t="n"/>
      <c r="C1482" s="5" t="n"/>
      <c r="D1482" s="5" t="n"/>
      <c r="E1482" s="5" t="n"/>
      <c r="F1482" s="5" t="n"/>
      <c r="G1482" s="5" t="n"/>
      <c r="H1482" s="5" t="n"/>
      <c r="I1482" s="5" t="n"/>
    </row>
    <row r="1483" ht="45" customHeight="1">
      <c r="A1483" s="11" t="inlineStr">
        <is>
          <t>A mixed obstacle course for an AI worker.</t>
        </is>
      </c>
      <c r="B1483" s="5" t="n"/>
      <c r="C1483" s="5" t="n"/>
      <c r="D1483" s="5" t="n"/>
      <c r="E1483" s="5" t="n"/>
      <c r="F1483" s="5" t="n"/>
      <c r="G1483" s="5" t="n"/>
      <c r="H1483" s="5" t="n"/>
      <c r="I1483" s="5" t="n"/>
    </row>
    <row r="1484" ht="45" customHeight="1">
      <c r="A1484" s="5" t="n"/>
      <c r="B1484" s="5" t="n"/>
      <c r="C1484" s="5" t="n"/>
      <c r="D1484" s="5" t="n"/>
      <c r="E1484" s="5" t="n"/>
      <c r="F1484" s="5" t="n"/>
      <c r="G1484" s="5" t="n"/>
      <c r="H1484" s="5" t="n"/>
      <c r="I1484" s="5" t="n"/>
    </row>
    <row r="1485" ht="45" customHeight="1">
      <c r="A1485" s="5" t="n"/>
      <c r="B1485" s="5" t="n"/>
      <c r="C1485" s="5" t="n"/>
      <c r="D1485" s="5" t="n"/>
      <c r="E1485" s="5" t="n"/>
      <c r="F1485" s="5" t="n"/>
      <c r="G1485" s="5" t="n"/>
      <c r="H1485" s="5" t="n"/>
      <c r="I1485" s="5" t="n"/>
    </row>
    <row r="1487">
      <c r="A1487" s="4" t="inlineStr">
        <is>
          <t>Top-score example</t>
        </is>
      </c>
      <c r="B1487" s="5" t="n"/>
      <c r="C1487" s="5" t="n"/>
      <c r="D1487" s="5" t="n"/>
      <c r="E1487" s="5" t="n"/>
      <c r="F1487" s="5" t="n"/>
      <c r="G1487" s="5" t="n"/>
      <c r="H1487" s="5" t="n"/>
      <c r="I1487" s="5" t="n"/>
    </row>
    <row r="1488" ht="45" customHeight="1">
      <c r="A1488" s="11" t="inlineStr">
        <is>
          <t>Top available score here: MiniMax M2.7 at 62.7 % score. At that level, the model is solving longer tasks that combine planning, tool use, and execution.</t>
        </is>
      </c>
      <c r="B1488" s="5" t="n"/>
      <c r="C1488" s="5" t="n"/>
      <c r="D1488" s="5" t="n"/>
      <c r="E1488" s="5" t="n"/>
      <c r="F1488" s="5" t="n"/>
      <c r="G1488" s="5" t="n"/>
      <c r="H1488" s="5" t="n"/>
      <c r="I1488" s="5" t="n"/>
    </row>
    <row r="1489" ht="45" customHeight="1">
      <c r="A1489" s="5" t="n"/>
      <c r="B1489" s="5" t="n"/>
      <c r="C1489" s="5" t="n"/>
      <c r="D1489" s="5" t="n"/>
      <c r="E1489" s="5" t="n"/>
      <c r="F1489" s="5" t="n"/>
      <c r="G1489" s="5" t="n"/>
      <c r="H1489" s="5" t="n"/>
      <c r="I1489" s="5" t="n"/>
    </row>
    <row r="1490" ht="45" customHeight="1">
      <c r="A1490" s="5" t="n"/>
      <c r="B1490" s="5" t="n"/>
      <c r="C1490" s="5" t="n"/>
      <c r="D1490" s="5" t="n"/>
      <c r="E1490" s="5" t="n"/>
      <c r="F1490" s="5" t="n"/>
      <c r="G1490" s="5" t="n"/>
      <c r="H1490" s="5" t="n"/>
      <c r="I1490" s="5" t="n"/>
    </row>
    <row r="1492">
      <c r="A1492" s="4" t="inlineStr">
        <is>
          <t>Similar tests and differences</t>
        </is>
      </c>
      <c r="B1492" s="5" t="n"/>
      <c r="C1492" s="5" t="n"/>
      <c r="D1492" s="5" t="n"/>
      <c r="E1492" s="5" t="n"/>
      <c r="F1492" s="5" t="n"/>
      <c r="G1492" s="5" t="n"/>
      <c r="H1492" s="5" t="n"/>
      <c r="I1492" s="5" t="n"/>
    </row>
    <row r="1493" ht="45" customHeight="1">
      <c r="A1493" s="11" t="inlineStr">
        <is>
          <t>Broader but less standardized than single-skill coding benchmarks.</t>
        </is>
      </c>
      <c r="B1493" s="5" t="n"/>
      <c r="C1493" s="5" t="n"/>
      <c r="D1493" s="5" t="n"/>
      <c r="E1493" s="5" t="n"/>
      <c r="F1493" s="5" t="n"/>
      <c r="G1493" s="5" t="n"/>
      <c r="H1493" s="5" t="n"/>
      <c r="I1493" s="5" t="n"/>
    </row>
    <row r="1494" ht="45" customHeight="1">
      <c r="A1494" s="5" t="n"/>
      <c r="B1494" s="5" t="n"/>
      <c r="C1494" s="5" t="n"/>
      <c r="D1494" s="5" t="n"/>
      <c r="E1494" s="5" t="n"/>
      <c r="F1494" s="5" t="n"/>
      <c r="G1494" s="5" t="n"/>
      <c r="H1494" s="5" t="n"/>
      <c r="I1494" s="5" t="n"/>
    </row>
    <row r="1495" ht="45" customHeight="1">
      <c r="A1495" s="5" t="n"/>
      <c r="B1495" s="5" t="n"/>
      <c r="C1495" s="5" t="n"/>
      <c r="D1495" s="5" t="n"/>
      <c r="E1495" s="5" t="n"/>
      <c r="F1495" s="5" t="n"/>
      <c r="G1495" s="5" t="n"/>
      <c r="H1495" s="5" t="n"/>
      <c r="I1495" s="5" t="n"/>
    </row>
    <row r="1499">
      <c r="A1499" s="9" t="inlineStr">
        <is>
          <t>MLE Bench Lite | 5 - ML competition</t>
        </is>
      </c>
    </row>
    <row r="1500">
      <c r="A1500" s="10" t="inlineStr">
        <is>
          <t>Model</t>
        </is>
      </c>
      <c r="B1500" s="10" t="inlineStr">
        <is>
          <t>Score</t>
        </is>
      </c>
      <c r="C1500" s="10" t="inlineStr">
        <is>
          <t>Unit</t>
        </is>
      </c>
      <c r="D1500" s="10" t="inlineStr">
        <is>
          <t>Source</t>
        </is>
      </c>
    </row>
    <row r="1501">
      <c r="A1501" t="inlineStr">
        <is>
          <t>MiniMax M2.7</t>
        </is>
      </c>
      <c r="B1501" t="n">
        <v>66.59999999999999</v>
      </c>
      <c r="C1501" t="inlineStr">
        <is>
          <t>% medal rate</t>
        </is>
      </c>
      <c r="D1501" t="inlineStr">
        <is>
          <t>NVIDIA NIM - MiniMax M2.7 model card</t>
        </is>
      </c>
    </row>
    <row r="1511">
      <c r="A1511" s="4" t="inlineStr">
        <is>
          <t>What is</t>
        </is>
      </c>
      <c r="B1511" s="5" t="n"/>
      <c r="C1511" s="5" t="n"/>
      <c r="D1511" s="5" t="n"/>
      <c r="E1511" s="5" t="n"/>
      <c r="F1511" s="5" t="n"/>
      <c r="G1511" s="5" t="n"/>
      <c r="H1511" s="5" t="n"/>
      <c r="I1511" s="5" t="n"/>
    </row>
    <row r="1512" ht="45" customHeight="1">
      <c r="A1512" s="11" t="inlineStr">
        <is>
          <t>A lighter machine-learning competition benchmark.</t>
        </is>
      </c>
      <c r="B1512" s="5" t="n"/>
      <c r="C1512" s="5" t="n"/>
      <c r="D1512" s="5" t="n"/>
      <c r="E1512" s="5" t="n"/>
      <c r="F1512" s="5" t="n"/>
      <c r="G1512" s="5" t="n"/>
      <c r="H1512" s="5" t="n"/>
      <c r="I1512" s="5" t="n"/>
    </row>
    <row r="1513" ht="45" customHeight="1">
      <c r="A1513" s="5" t="n"/>
      <c r="B1513" s="5" t="n"/>
      <c r="C1513" s="5" t="n"/>
      <c r="D1513" s="5" t="n"/>
      <c r="E1513" s="5" t="n"/>
      <c r="F1513" s="5" t="n"/>
      <c r="G1513" s="5" t="n"/>
      <c r="H1513" s="5" t="n"/>
      <c r="I1513" s="5" t="n"/>
    </row>
    <row r="1514" ht="45" customHeight="1">
      <c r="A1514" s="5" t="n"/>
      <c r="B1514" s="5" t="n"/>
      <c r="C1514" s="5" t="n"/>
      <c r="D1514" s="5" t="n"/>
      <c r="E1514" s="5" t="n"/>
      <c r="F1514" s="5" t="n"/>
      <c r="G1514" s="5" t="n"/>
      <c r="H1514" s="5" t="n"/>
      <c r="I1514" s="5" t="n"/>
    </row>
    <row r="1516">
      <c r="A1516" s="4" t="inlineStr">
        <is>
          <t>Explain for 11</t>
        </is>
      </c>
      <c r="B1516" s="5" t="n"/>
      <c r="C1516" s="5" t="n"/>
      <c r="D1516" s="5" t="n"/>
      <c r="E1516" s="5" t="n"/>
      <c r="F1516" s="5" t="n"/>
      <c r="G1516" s="5" t="n"/>
      <c r="H1516" s="5" t="n"/>
      <c r="I1516" s="5" t="n"/>
    </row>
    <row r="1517" ht="45" customHeight="1">
      <c r="A1517" s="11" t="inlineStr">
        <is>
          <t>The AI tries small data-science contests and aims for a medal-like result.</t>
        </is>
      </c>
      <c r="B1517" s="5" t="n"/>
      <c r="C1517" s="5" t="n"/>
      <c r="D1517" s="5" t="n"/>
      <c r="E1517" s="5" t="n"/>
      <c r="F1517" s="5" t="n"/>
      <c r="G1517" s="5" t="n"/>
      <c r="H1517" s="5" t="n"/>
      <c r="I1517" s="5" t="n"/>
    </row>
    <row r="1518" ht="45" customHeight="1">
      <c r="A1518" s="5" t="n"/>
      <c r="B1518" s="5" t="n"/>
      <c r="C1518" s="5" t="n"/>
      <c r="D1518" s="5" t="n"/>
      <c r="E1518" s="5" t="n"/>
      <c r="F1518" s="5" t="n"/>
      <c r="G1518" s="5" t="n"/>
      <c r="H1518" s="5" t="n"/>
      <c r="I1518" s="5" t="n"/>
    </row>
    <row r="1519" ht="45" customHeight="1">
      <c r="A1519" s="5" t="n"/>
      <c r="B1519" s="5" t="n"/>
      <c r="C1519" s="5" t="n"/>
      <c r="D1519" s="5" t="n"/>
      <c r="E1519" s="5" t="n"/>
      <c r="F1519" s="5" t="n"/>
      <c r="G1519" s="5" t="n"/>
      <c r="H1519" s="5" t="n"/>
      <c r="I1519" s="5" t="n"/>
    </row>
    <row r="1521">
      <c r="A1521" s="4" t="inlineStr">
        <is>
          <t>Top-score example</t>
        </is>
      </c>
      <c r="B1521" s="5" t="n"/>
      <c r="C1521" s="5" t="n"/>
      <c r="D1521" s="5" t="n"/>
      <c r="E1521" s="5" t="n"/>
      <c r="F1521" s="5" t="n"/>
      <c r="G1521" s="5" t="n"/>
      <c r="H1521" s="5" t="n"/>
      <c r="I1521" s="5" t="n"/>
    </row>
    <row r="1522" ht="45" customHeight="1">
      <c r="A1522" s="11" t="inlineStr">
        <is>
          <t>Top available score here: MiniMax M2.7 at 66.6 % medal rate. At that level, the model is solving model training, data handling, and experiment iteration.</t>
        </is>
      </c>
      <c r="B1522" s="5" t="n"/>
      <c r="C1522" s="5" t="n"/>
      <c r="D1522" s="5" t="n"/>
      <c r="E1522" s="5" t="n"/>
      <c r="F1522" s="5" t="n"/>
      <c r="G1522" s="5" t="n"/>
      <c r="H1522" s="5" t="n"/>
      <c r="I1522" s="5" t="n"/>
    </row>
    <row r="1523" ht="45" customHeight="1">
      <c r="A1523" s="5" t="n"/>
      <c r="B1523" s="5" t="n"/>
      <c r="C1523" s="5" t="n"/>
      <c r="D1523" s="5" t="n"/>
      <c r="E1523" s="5" t="n"/>
      <c r="F1523" s="5" t="n"/>
      <c r="G1523" s="5" t="n"/>
      <c r="H1523" s="5" t="n"/>
      <c r="I1523" s="5" t="n"/>
    </row>
    <row r="1524" ht="45" customHeight="1">
      <c r="A1524" s="5" t="n"/>
      <c r="B1524" s="5" t="n"/>
      <c r="C1524" s="5" t="n"/>
      <c r="D1524" s="5" t="n"/>
      <c r="E1524" s="5" t="n"/>
      <c r="F1524" s="5" t="n"/>
      <c r="G1524" s="5" t="n"/>
      <c r="H1524" s="5" t="n"/>
      <c r="I1524" s="5" t="n"/>
    </row>
    <row r="1526">
      <c r="A1526" s="4" t="inlineStr">
        <is>
          <t>Similar tests and differences</t>
        </is>
      </c>
      <c r="B1526" s="5" t="n"/>
      <c r="C1526" s="5" t="n"/>
      <c r="D1526" s="5" t="n"/>
      <c r="E1526" s="5" t="n"/>
      <c r="F1526" s="5" t="n"/>
      <c r="G1526" s="5" t="n"/>
      <c r="H1526" s="5" t="n"/>
      <c r="I1526" s="5" t="n"/>
    </row>
    <row r="1527" ht="45" customHeight="1">
      <c r="A1527" s="11" t="inlineStr">
        <is>
          <t>Different from coding tests because success depends on data-science judgment.</t>
        </is>
      </c>
      <c r="B1527" s="5" t="n"/>
      <c r="C1527" s="5" t="n"/>
      <c r="D1527" s="5" t="n"/>
      <c r="E1527" s="5" t="n"/>
      <c r="F1527" s="5" t="n"/>
      <c r="G1527" s="5" t="n"/>
      <c r="H1527" s="5" t="n"/>
      <c r="I1527" s="5" t="n"/>
    </row>
    <row r="1528" ht="45" customHeight="1">
      <c r="A1528" s="5" t="n"/>
      <c r="B1528" s="5" t="n"/>
      <c r="C1528" s="5" t="n"/>
      <c r="D1528" s="5" t="n"/>
      <c r="E1528" s="5" t="n"/>
      <c r="F1528" s="5" t="n"/>
      <c r="G1528" s="5" t="n"/>
      <c r="H1528" s="5" t="n"/>
      <c r="I1528" s="5" t="n"/>
    </row>
    <row r="1529" ht="45" customHeight="1">
      <c r="A1529" s="5" t="n"/>
      <c r="B1529" s="5" t="n"/>
      <c r="C1529" s="5" t="n"/>
      <c r="D1529" s="5" t="n"/>
      <c r="E1529" s="5" t="n"/>
      <c r="F1529" s="5" t="n"/>
      <c r="G1529" s="5" t="n"/>
      <c r="H1529" s="5" t="n"/>
      <c r="I1529" s="5" t="n"/>
    </row>
    <row r="1533">
      <c r="A1533" s="9" t="inlineStr">
        <is>
          <t>CyberGym | 5 - Cybersecurity</t>
        </is>
      </c>
    </row>
    <row r="1534">
      <c r="A1534" s="10" t="inlineStr">
        <is>
          <t>Model</t>
        </is>
      </c>
      <c r="B1534" s="10" t="inlineStr">
        <is>
          <t>Score</t>
        </is>
      </c>
      <c r="C1534" s="10" t="inlineStr">
        <is>
          <t>Unit</t>
        </is>
      </c>
      <c r="D1534" s="10" t="inlineStr">
        <is>
          <t>Source</t>
        </is>
      </c>
    </row>
    <row r="1535">
      <c r="A1535" t="inlineStr">
        <is>
          <t>ChatGPT 5.5</t>
        </is>
      </c>
      <c r="B1535" t="n">
        <v>81.8</v>
      </c>
      <c r="C1535" t="inlineStr">
        <is>
          <t>% score</t>
        </is>
      </c>
      <c r="D1535" t="inlineStr">
        <is>
          <t>OpenAI - Introducing GPT-5.5</t>
        </is>
      </c>
    </row>
    <row r="1536">
      <c r="A1536" t="inlineStr">
        <is>
          <t>ChatGPT 5.3 Codex</t>
        </is>
      </c>
      <c r="B1536" t="n">
        <v>77.59999999999999</v>
      </c>
      <c r="C1536" t="inlineStr">
        <is>
          <t>% score</t>
        </is>
      </c>
      <c r="D1536" t="inlineStr">
        <is>
          <t>OpenAI - Introducing GPT-5.3-Codex</t>
        </is>
      </c>
    </row>
    <row r="1537">
      <c r="A1537" t="inlineStr">
        <is>
          <t>Claude Opus 4.7</t>
        </is>
      </c>
      <c r="B1537" t="n">
        <v>73.09999999999999</v>
      </c>
      <c r="C1537" t="inlineStr">
        <is>
          <t>% score</t>
        </is>
      </c>
      <c r="D1537" t="inlineStr">
        <is>
          <t>OpenAI - Introducing GPT-5.5</t>
        </is>
      </c>
    </row>
    <row r="1538">
      <c r="A1538" t="inlineStr">
        <is>
          <t>GLM-5.1</t>
        </is>
      </c>
      <c r="B1538" t="n">
        <v>68.7</v>
      </c>
      <c r="C1538" t="inlineStr">
        <is>
          <t>% score</t>
        </is>
      </c>
      <c r="D1538" t="inlineStr">
        <is>
          <t>NVIDIA NIM - GLM-5.1 model card</t>
        </is>
      </c>
    </row>
    <row r="1545">
      <c r="A1545" s="4" t="inlineStr">
        <is>
          <t>What is</t>
        </is>
      </c>
      <c r="B1545" s="5" t="n"/>
      <c r="C1545" s="5" t="n"/>
      <c r="D1545" s="5" t="n"/>
      <c r="E1545" s="5" t="n"/>
      <c r="F1545" s="5" t="n"/>
      <c r="G1545" s="5" t="n"/>
      <c r="H1545" s="5" t="n"/>
      <c r="I1545" s="5" t="n"/>
    </row>
    <row r="1546" ht="45" customHeight="1">
      <c r="A1546" s="11" t="inlineStr">
        <is>
          <t>Cybersecurity challenge tasks.</t>
        </is>
      </c>
      <c r="B1546" s="5" t="n"/>
      <c r="C1546" s="5" t="n"/>
      <c r="D1546" s="5" t="n"/>
      <c r="E1546" s="5" t="n"/>
      <c r="F1546" s="5" t="n"/>
      <c r="G1546" s="5" t="n"/>
      <c r="H1546" s="5" t="n"/>
      <c r="I1546" s="5" t="n"/>
    </row>
    <row r="1547" ht="45" customHeight="1">
      <c r="A1547" s="5" t="n"/>
      <c r="B1547" s="5" t="n"/>
      <c r="C1547" s="5" t="n"/>
      <c r="D1547" s="5" t="n"/>
      <c r="E1547" s="5" t="n"/>
      <c r="F1547" s="5" t="n"/>
      <c r="G1547" s="5" t="n"/>
      <c r="H1547" s="5" t="n"/>
      <c r="I1547" s="5" t="n"/>
    </row>
    <row r="1548" ht="45" customHeight="1">
      <c r="A1548" s="5" t="n"/>
      <c r="B1548" s="5" t="n"/>
      <c r="C1548" s="5" t="n"/>
      <c r="D1548" s="5" t="n"/>
      <c r="E1548" s="5" t="n"/>
      <c r="F1548" s="5" t="n"/>
      <c r="G1548" s="5" t="n"/>
      <c r="H1548" s="5" t="n"/>
      <c r="I1548" s="5" t="n"/>
    </row>
    <row r="1550">
      <c r="A1550" s="4" t="inlineStr">
        <is>
          <t>Explain for 11</t>
        </is>
      </c>
      <c r="B1550" s="5" t="n"/>
      <c r="C1550" s="5" t="n"/>
      <c r="D1550" s="5" t="n"/>
      <c r="E1550" s="5" t="n"/>
      <c r="F1550" s="5" t="n"/>
      <c r="G1550" s="5" t="n"/>
      <c r="H1550" s="5" t="n"/>
      <c r="I1550" s="5" t="n"/>
    </row>
    <row r="1551" ht="45" customHeight="1">
      <c r="A1551" s="11" t="inlineStr">
        <is>
          <t>A computer-security obstacle course for finding and fixing digital weaknesses.</t>
        </is>
      </c>
      <c r="B1551" s="5" t="n"/>
      <c r="C1551" s="5" t="n"/>
      <c r="D1551" s="5" t="n"/>
      <c r="E1551" s="5" t="n"/>
      <c r="F1551" s="5" t="n"/>
      <c r="G1551" s="5" t="n"/>
      <c r="H1551" s="5" t="n"/>
      <c r="I1551" s="5" t="n"/>
    </row>
    <row r="1552" ht="45" customHeight="1">
      <c r="A1552" s="5" t="n"/>
      <c r="B1552" s="5" t="n"/>
      <c r="C1552" s="5" t="n"/>
      <c r="D1552" s="5" t="n"/>
      <c r="E1552" s="5" t="n"/>
      <c r="F1552" s="5" t="n"/>
      <c r="G1552" s="5" t="n"/>
      <c r="H1552" s="5" t="n"/>
      <c r="I1552" s="5" t="n"/>
    </row>
    <row r="1553" ht="45" customHeight="1">
      <c r="A1553" s="5" t="n"/>
      <c r="B1553" s="5" t="n"/>
      <c r="C1553" s="5" t="n"/>
      <c r="D1553" s="5" t="n"/>
      <c r="E1553" s="5" t="n"/>
      <c r="F1553" s="5" t="n"/>
      <c r="G1553" s="5" t="n"/>
      <c r="H1553" s="5" t="n"/>
      <c r="I1553" s="5" t="n"/>
    </row>
    <row r="1555">
      <c r="A1555" s="4" t="inlineStr">
        <is>
          <t>Top-score example</t>
        </is>
      </c>
      <c r="B1555" s="5" t="n"/>
      <c r="C1555" s="5" t="n"/>
      <c r="D1555" s="5" t="n"/>
      <c r="E1555" s="5" t="n"/>
      <c r="F1555" s="5" t="n"/>
      <c r="G1555" s="5" t="n"/>
      <c r="H1555" s="5" t="n"/>
      <c r="I1555" s="5" t="n"/>
    </row>
    <row r="1556" ht="45" customHeight="1">
      <c r="A1556" s="11" t="inlineStr">
        <is>
          <t>Top available score here: ChatGPT 5.5 at 81.8 % score. At that level, the model is solving security tasks such as vulnerability analysis and challenge solving.</t>
        </is>
      </c>
      <c r="B1556" s="5" t="n"/>
      <c r="C1556" s="5" t="n"/>
      <c r="D1556" s="5" t="n"/>
      <c r="E1556" s="5" t="n"/>
      <c r="F1556" s="5" t="n"/>
      <c r="G1556" s="5" t="n"/>
      <c r="H1556" s="5" t="n"/>
      <c r="I1556" s="5" t="n"/>
    </row>
    <row r="1557" ht="45" customHeight="1">
      <c r="A1557" s="5" t="n"/>
      <c r="B1557" s="5" t="n"/>
      <c r="C1557" s="5" t="n"/>
      <c r="D1557" s="5" t="n"/>
      <c r="E1557" s="5" t="n"/>
      <c r="F1557" s="5" t="n"/>
      <c r="G1557" s="5" t="n"/>
      <c r="H1557" s="5" t="n"/>
      <c r="I1557" s="5" t="n"/>
    </row>
    <row r="1558" ht="45" customHeight="1">
      <c r="A1558" s="5" t="n"/>
      <c r="B1558" s="5" t="n"/>
      <c r="C1558" s="5" t="n"/>
      <c r="D1558" s="5" t="n"/>
      <c r="E1558" s="5" t="n"/>
      <c r="F1558" s="5" t="n"/>
      <c r="G1558" s="5" t="n"/>
      <c r="H1558" s="5" t="n"/>
      <c r="I1558" s="5" t="n"/>
    </row>
    <row r="1560">
      <c r="A1560" s="4" t="inlineStr">
        <is>
          <t>Similar tests and differences</t>
        </is>
      </c>
      <c r="B1560" s="5" t="n"/>
      <c r="C1560" s="5" t="n"/>
      <c r="D1560" s="5" t="n"/>
      <c r="E1560" s="5" t="n"/>
      <c r="F1560" s="5" t="n"/>
      <c r="G1560" s="5" t="n"/>
      <c r="H1560" s="5" t="n"/>
      <c r="I1560" s="5" t="n"/>
    </row>
    <row r="1561" ht="45" customHeight="1">
      <c r="A1561" s="11" t="inlineStr">
        <is>
          <t>Specialized domain test; not a general writing or math benchmark.</t>
        </is>
      </c>
      <c r="B1561" s="5" t="n"/>
      <c r="C1561" s="5" t="n"/>
      <c r="D1561" s="5" t="n"/>
      <c r="E1561" s="5" t="n"/>
      <c r="F1561" s="5" t="n"/>
      <c r="G1561" s="5" t="n"/>
      <c r="H1561" s="5" t="n"/>
      <c r="I1561" s="5" t="n"/>
    </row>
    <row r="1562" ht="45" customHeight="1">
      <c r="A1562" s="5" t="n"/>
      <c r="B1562" s="5" t="n"/>
      <c r="C1562" s="5" t="n"/>
      <c r="D1562" s="5" t="n"/>
      <c r="E1562" s="5" t="n"/>
      <c r="F1562" s="5" t="n"/>
      <c r="G1562" s="5" t="n"/>
      <c r="H1562" s="5" t="n"/>
      <c r="I1562" s="5" t="n"/>
    </row>
    <row r="1563" ht="45" customHeight="1">
      <c r="A1563" s="5" t="n"/>
      <c r="B1563" s="5" t="n"/>
      <c r="C1563" s="5" t="n"/>
      <c r="D1563" s="5" t="n"/>
      <c r="E1563" s="5" t="n"/>
      <c r="F1563" s="5" t="n"/>
      <c r="G1563" s="5" t="n"/>
      <c r="H1563" s="5" t="n"/>
      <c r="I1563" s="5" t="n"/>
    </row>
  </sheetData>
  <mergeCells count="423">
    <mergeCell ref="A658:I658"/>
    <mergeCell ref="A925:I925"/>
    <mergeCell ref="A164:I164"/>
    <mergeCell ref="A581:I583"/>
    <mergeCell ref="A779:I779"/>
    <mergeCell ref="A1533:I1533"/>
    <mergeCell ref="A716:I716"/>
    <mergeCell ref="A285:I287"/>
    <mergeCell ref="A116:I118"/>
    <mergeCell ref="A377:I379"/>
    <mergeCell ref="A495:I495"/>
    <mergeCell ref="A1443:I1443"/>
    <mergeCell ref="A1103:I1103"/>
    <mergeCell ref="A1117:I1119"/>
    <mergeCell ref="A609:I609"/>
    <mergeCell ref="A1249:I1249"/>
    <mergeCell ref="A220:I222"/>
    <mergeCell ref="A711:I711"/>
    <mergeCell ref="A518:I520"/>
    <mergeCell ref="A869:I869"/>
    <mergeCell ref="A1390:I1390"/>
    <mergeCell ref="A1415:I1417"/>
    <mergeCell ref="A137:I137"/>
    <mergeCell ref="A1156:I1156"/>
    <mergeCell ref="A1357:I1359"/>
    <mergeCell ref="A1465:I1465"/>
    <mergeCell ref="A1220:I1220"/>
    <mergeCell ref="A381:I381"/>
    <mergeCell ref="A1522:I1524"/>
    <mergeCell ref="A1133:I1133"/>
    <mergeCell ref="A964:I964"/>
    <mergeCell ref="A1431:I1431"/>
    <mergeCell ref="A508:I510"/>
    <mergeCell ref="A1352:I1354"/>
    <mergeCell ref="A309:I311"/>
    <mergeCell ref="A755:I755"/>
    <mergeCell ref="A180:I182"/>
    <mergeCell ref="A261:I261"/>
    <mergeCell ref="A416:I418"/>
    <mergeCell ref="A155:I157"/>
    <mergeCell ref="A279:I279"/>
    <mergeCell ref="A546:I546"/>
    <mergeCell ref="A1086:I1086"/>
    <mergeCell ref="A1410:I1412"/>
    <mergeCell ref="A325:I325"/>
    <mergeCell ref="A1322:I1322"/>
    <mergeCell ref="A722:I724"/>
    <mergeCell ref="A1425:I1427"/>
    <mergeCell ref="A455:I457"/>
    <mergeCell ref="A69:I69"/>
    <mergeCell ref="A677:I677"/>
    <mergeCell ref="A427:I427"/>
    <mergeCell ref="A1380:I1380"/>
    <mergeCell ref="A678:I680"/>
    <mergeCell ref="A1081:I1081"/>
    <mergeCell ref="A1146:I1146"/>
    <mergeCell ref="A1317:I1317"/>
    <mergeCell ref="A1096:I1096"/>
    <mergeCell ref="A1347:I1349"/>
    <mergeCell ref="A1254:I1254"/>
    <mergeCell ref="A209:I209"/>
    <mergeCell ref="A1035:I1035"/>
    <mergeCell ref="A1477:I1477"/>
    <mergeCell ref="A274:I274"/>
    <mergeCell ref="A14:I16"/>
    <mergeCell ref="A348:I350"/>
    <mergeCell ref="A801:I801"/>
    <mergeCell ref="A931:I933"/>
    <mergeCell ref="A314:I316"/>
    <mergeCell ref="A794:I794"/>
    <mergeCell ref="A1289:I1291"/>
    <mergeCell ref="A903:I903"/>
    <mergeCell ref="A682:I682"/>
    <mergeCell ref="A1546:I1548"/>
    <mergeCell ref="A1545:I1545"/>
    <mergeCell ref="A1449:I1451"/>
    <mergeCell ref="A659:I661"/>
    <mergeCell ref="A625:I627"/>
    <mergeCell ref="A393:I393"/>
    <mergeCell ref="A984:I986"/>
    <mergeCell ref="A896:I896"/>
    <mergeCell ref="A440:I442"/>
    <mergeCell ref="A439:I439"/>
    <mergeCell ref="A185:I187"/>
    <mergeCell ref="A489:I491"/>
    <mergeCell ref="A159:I159"/>
    <mergeCell ref="A420:I420"/>
    <mergeCell ref="A224:I224"/>
    <mergeCell ref="A862:I862"/>
    <mergeCell ref="A1048:I1050"/>
    <mergeCell ref="A1284:I1286"/>
    <mergeCell ref="A1063:I1065"/>
    <mergeCell ref="A726:I726"/>
    <mergeCell ref="A1221:I1223"/>
    <mergeCell ref="A829:I831"/>
    <mergeCell ref="A372:I374"/>
    <mergeCell ref="A517:I517"/>
    <mergeCell ref="A1381:I1383"/>
    <mergeCell ref="A620:I622"/>
    <mergeCell ref="A712:I714"/>
    <mergeCell ref="A619:I619"/>
    <mergeCell ref="A575:I575"/>
    <mergeCell ref="A1147:I1149"/>
    <mergeCell ref="A988:I988"/>
    <mergeCell ref="A1318:I1320"/>
    <mergeCell ref="A557:I559"/>
    <mergeCell ref="A154:I154"/>
    <mergeCell ref="A649:I651"/>
    <mergeCell ref="A214:I214"/>
    <mergeCell ref="A1273:I1273"/>
    <mergeCell ref="A512:I512"/>
    <mergeCell ref="A1052:I1052"/>
    <mergeCell ref="A1376:I1378"/>
    <mergeCell ref="A1288:I1288"/>
    <mergeCell ref="A586:I588"/>
    <mergeCell ref="A542:I544"/>
    <mergeCell ref="A1142:I1144"/>
    <mergeCell ref="A1193:I1193"/>
    <mergeCell ref="A270:I272"/>
    <mergeCell ref="A590:I590"/>
    <mergeCell ref="A1323:I1325"/>
    <mergeCell ref="A937:I937"/>
    <mergeCell ref="A1454:I1456"/>
    <mergeCell ref="A1453:I1453"/>
    <mergeCell ref="A461:I461"/>
    <mergeCell ref="A1420:I1422"/>
    <mergeCell ref="A1028:I1028"/>
    <mergeCell ref="A444:I444"/>
    <mergeCell ref="A556:I556"/>
    <mergeCell ref="A823:I823"/>
    <mergeCell ref="A179:I179"/>
    <mergeCell ref="A881:I881"/>
    <mergeCell ref="A91:I91"/>
    <mergeCell ref="A955:I957"/>
    <mergeCell ref="A818:I818"/>
    <mergeCell ref="A1240:I1242"/>
    <mergeCell ref="A1181:I1181"/>
    <mergeCell ref="A479:I481"/>
    <mergeCell ref="A1019:I1021"/>
    <mergeCell ref="A131:I133"/>
    <mergeCell ref="A58:I60"/>
    <mergeCell ref="A1255:I1257"/>
    <mergeCell ref="A245:I247"/>
    <mergeCell ref="A983:I983"/>
    <mergeCell ref="A552:I554"/>
    <mergeCell ref="A24:I26"/>
    <mergeCell ref="A551:I551"/>
    <mergeCell ref="A1057:I1057"/>
    <mergeCell ref="A1499:I1499"/>
    <mergeCell ref="A576:I578"/>
    <mergeCell ref="A1097:I1099"/>
    <mergeCell ref="A767:I767"/>
    <mergeCell ref="A1307:I1307"/>
    <mergeCell ref="A863:I865"/>
    <mergeCell ref="A631:I631"/>
    <mergeCell ref="A1244:I1244"/>
    <mergeCell ref="A483:I483"/>
    <mergeCell ref="A597:I597"/>
    <mergeCell ref="A1092:I1094"/>
    <mergeCell ref="A858:I860"/>
    <mergeCell ref="A882:I884"/>
    <mergeCell ref="A130:I130"/>
    <mergeCell ref="A201:I201"/>
    <mergeCell ref="A994:I996"/>
    <mergeCell ref="A1385:I1385"/>
    <mergeCell ref="A1062:I1062"/>
    <mergeCell ref="A915:I915"/>
    <mergeCell ref="A785:I787"/>
    <mergeCell ref="A1151:I1151"/>
    <mergeCell ref="A1561:I1563"/>
    <mergeCell ref="A488:I488"/>
    <mergeCell ref="A1126:I1126"/>
    <mergeCell ref="A653:I653"/>
    <mergeCell ref="A920:I920"/>
    <mergeCell ref="A1424:I1424"/>
    <mergeCell ref="A1215:I1215"/>
    <mergeCell ref="A1029:I1031"/>
    <mergeCell ref="A1516:I1516"/>
    <mergeCell ref="A699:I699"/>
    <mergeCell ref="A1087:I1089"/>
    <mergeCell ref="A887:I889"/>
    <mergeCell ref="A1363:I1363"/>
    <mergeCell ref="A853:I855"/>
    <mergeCell ref="A1024:I1026"/>
    <mergeCell ref="A254:I254"/>
    <mergeCell ref="A125:I125"/>
    <mergeCell ref="A318:I318"/>
    <mergeCell ref="A1375:I1375"/>
    <mergeCell ref="A1182:I1184"/>
    <mergeCell ref="A150:I152"/>
    <mergeCell ref="A541:I541"/>
    <mergeCell ref="A13:I13"/>
    <mergeCell ref="A215:I217"/>
    <mergeCell ref="A1274:I1276"/>
    <mergeCell ref="A249:I249"/>
    <mergeCell ref="A347:I347"/>
    <mergeCell ref="A1053:I1055"/>
    <mergeCell ref="A1211:I1213"/>
    <mergeCell ref="A450:I452"/>
    <mergeCell ref="A648:I648"/>
    <mergeCell ref="A1177:I1179"/>
    <mergeCell ref="A387:I389"/>
    <mergeCell ref="A343:I345"/>
    <mergeCell ref="A1141:I1141"/>
    <mergeCell ref="A1312:I1312"/>
    <mergeCell ref="A87:I89"/>
    <mergeCell ref="A478:I478"/>
    <mergeCell ref="A930:I930"/>
    <mergeCell ref="A959:I959"/>
    <mergeCell ref="A269:I269"/>
    <mergeCell ref="A897:I899"/>
    <mergeCell ref="A989:I991"/>
    <mergeCell ref="A852:I852"/>
    <mergeCell ref="A1023:I1023"/>
    <mergeCell ref="A35:I35"/>
    <mergeCell ref="A62:I62"/>
    <mergeCell ref="A1526:I1526"/>
    <mergeCell ref="A999:I1001"/>
    <mergeCell ref="A926:I928"/>
    <mergeCell ref="A165:I167"/>
    <mergeCell ref="A789:I789"/>
    <mergeCell ref="A28:I28"/>
    <mergeCell ref="A790:I792"/>
    <mergeCell ref="A892:I894"/>
    <mergeCell ref="A337:I337"/>
    <mergeCell ref="A965:I967"/>
    <mergeCell ref="A1356:I1356"/>
    <mergeCell ref="A1521:I1521"/>
    <mergeCell ref="A921:I923"/>
    <mergeCell ref="A103:I103"/>
    <mergeCell ref="A580:I580"/>
    <mergeCell ref="A1444:I1446"/>
    <mergeCell ref="A359:I359"/>
    <mergeCell ref="A610:I612"/>
    <mergeCell ref="A756:I758"/>
    <mergeCell ref="A954:I954"/>
    <mergeCell ref="A547:I549"/>
    <mergeCell ref="A1239:I1239"/>
    <mergeCell ref="A1483:I1485"/>
    <mergeCell ref="A255:I257"/>
    <mergeCell ref="A891:I891"/>
    <mergeCell ref="A1018:I1018"/>
    <mergeCell ref="A1176:I1176"/>
    <mergeCell ref="A415:I415"/>
    <mergeCell ref="A857:I857"/>
    <mergeCell ref="A1512:I1514"/>
    <mergeCell ref="A784:I784"/>
    <mergeCell ref="A1279:I1281"/>
    <mergeCell ref="A949:I949"/>
    <mergeCell ref="A194:I194"/>
    <mergeCell ref="A1555:I1555"/>
    <mergeCell ref="A1058:I1060"/>
    <mergeCell ref="A1216:I1218"/>
    <mergeCell ref="A886:I886"/>
    <mergeCell ref="A52:I52"/>
    <mergeCell ref="A665:I665"/>
    <mergeCell ref="A1171:I1171"/>
    <mergeCell ref="A916:I918"/>
    <mergeCell ref="A352:I352"/>
    <mergeCell ref="A615:I617"/>
    <mergeCell ref="A1:I1"/>
    <mergeCell ref="A1458:I1458"/>
    <mergeCell ref="A250:I252"/>
    <mergeCell ref="A644:I646"/>
    <mergeCell ref="A1091:I1091"/>
    <mergeCell ref="A507:I507"/>
    <mergeCell ref="A1112:I1114"/>
    <mergeCell ref="A1527:I1529"/>
    <mergeCell ref="A1186:I1186"/>
    <mergeCell ref="A484:I486"/>
    <mergeCell ref="A1278:I1278"/>
    <mergeCell ref="A29:I31"/>
    <mergeCell ref="A454:I454"/>
    <mergeCell ref="A721:I721"/>
    <mergeCell ref="A1082:I1084"/>
    <mergeCell ref="A1163:I1163"/>
    <mergeCell ref="A121:I123"/>
    <mergeCell ref="A1261:I1261"/>
    <mergeCell ref="A824:I826"/>
    <mergeCell ref="A1448:I1448"/>
    <mergeCell ref="A1122:I1124"/>
    <mergeCell ref="A848:I850"/>
    <mergeCell ref="A761:I763"/>
    <mergeCell ref="A421:I423"/>
    <mergeCell ref="A284:I284"/>
    <mergeCell ref="A1492:I1492"/>
    <mergeCell ref="A1517:I1519"/>
    <mergeCell ref="A683:I685"/>
    <mergeCell ref="A149:I149"/>
    <mergeCell ref="A1047:I1047"/>
    <mergeCell ref="A86:I86"/>
    <mergeCell ref="A950:I952"/>
    <mergeCell ref="A449:I449"/>
    <mergeCell ref="A1397:I1397"/>
    <mergeCell ref="A813:I813"/>
    <mergeCell ref="A1308:I1310"/>
    <mergeCell ref="A1111:I1111"/>
    <mergeCell ref="A474:I476"/>
    <mergeCell ref="A386:I386"/>
    <mergeCell ref="A1014:I1016"/>
    <mergeCell ref="A1250:I1252"/>
    <mergeCell ref="A240:I242"/>
    <mergeCell ref="A411:I413"/>
    <mergeCell ref="A81:I81"/>
    <mergeCell ref="A1205:I1205"/>
    <mergeCell ref="A971:I971"/>
    <mergeCell ref="A291:I291"/>
    <mergeCell ref="A760:I760"/>
    <mergeCell ref="A1487:I1487"/>
    <mergeCell ref="A727:I729"/>
    <mergeCell ref="A1283:I1283"/>
    <mergeCell ref="A1550:I1550"/>
    <mergeCell ref="A1329:I1329"/>
    <mergeCell ref="A406:I408"/>
    <mergeCell ref="A828:I828"/>
    <mergeCell ref="A126:I128"/>
    <mergeCell ref="A1245:I1247"/>
    <mergeCell ref="A63:I65"/>
    <mergeCell ref="A53:I55"/>
    <mergeCell ref="A513:I515"/>
    <mergeCell ref="A780:I782"/>
    <mergeCell ref="A1482:I1482"/>
    <mergeCell ref="A19:I21"/>
    <mergeCell ref="A190:I192"/>
    <mergeCell ref="A692:I692"/>
    <mergeCell ref="A1187:I1189"/>
    <mergeCell ref="A92:I94"/>
    <mergeCell ref="A1121:I1121"/>
    <mergeCell ref="A304:I306"/>
    <mergeCell ref="A353:I355"/>
    <mergeCell ref="A1419:I1419"/>
    <mergeCell ref="A1511:I1511"/>
    <mergeCell ref="A585:I585"/>
    <mergeCell ref="A750:I750"/>
    <mergeCell ref="A48:I50"/>
    <mergeCell ref="A319:I321"/>
    <mergeCell ref="A687:I687"/>
    <mergeCell ref="A1551:I1553"/>
    <mergeCell ref="A1116:I1116"/>
    <mergeCell ref="A717:I719"/>
    <mergeCell ref="A624:I624"/>
    <mergeCell ref="A376:I376"/>
    <mergeCell ref="A195:I197"/>
    <mergeCell ref="A313:I313"/>
    <mergeCell ref="A405:I405"/>
    <mergeCell ref="A1391:I1393"/>
    <mergeCell ref="A210:I212"/>
    <mergeCell ref="A1005:I1005"/>
    <mergeCell ref="A184:I184"/>
    <mergeCell ref="A244:I244"/>
    <mergeCell ref="A371:I371"/>
    <mergeCell ref="A171:I171"/>
    <mergeCell ref="A342:I342"/>
    <mergeCell ref="A231:I231"/>
    <mergeCell ref="A1295:I1295"/>
    <mergeCell ref="A529:I529"/>
    <mergeCell ref="A1157:I1159"/>
    <mergeCell ref="A1206:I1208"/>
    <mergeCell ref="A445:I447"/>
    <mergeCell ref="A1069:I1069"/>
    <mergeCell ref="A115:I115"/>
    <mergeCell ref="A308:I308"/>
    <mergeCell ref="A1172:I1174"/>
    <mergeCell ref="A1556:I1558"/>
    <mergeCell ref="A795:I797"/>
    <mergeCell ref="A1409:I1409"/>
    <mergeCell ref="A733:I733"/>
    <mergeCell ref="A819:I821"/>
    <mergeCell ref="A1210:I1210"/>
    <mergeCell ref="A523:I525"/>
    <mergeCell ref="A522:I522"/>
    <mergeCell ref="A120:I120"/>
    <mergeCell ref="A1386:I1388"/>
    <mergeCell ref="A239:I239"/>
    <mergeCell ref="A745:I745"/>
    <mergeCell ref="A847:I847"/>
    <mergeCell ref="A1342:I1344"/>
    <mergeCell ref="A1341:I1341"/>
    <mergeCell ref="A57:I57"/>
    <mergeCell ref="A1152:I1154"/>
    <mergeCell ref="A993:I993"/>
    <mergeCell ref="A303:I303"/>
    <mergeCell ref="A160:I162"/>
    <mergeCell ref="A654:I656"/>
    <mergeCell ref="A219:I219"/>
    <mergeCell ref="A23:I23"/>
    <mergeCell ref="A1414:I1414"/>
    <mergeCell ref="A96:I96"/>
    <mergeCell ref="A591:I593"/>
    <mergeCell ref="A280:I282"/>
    <mergeCell ref="A814:I816"/>
    <mergeCell ref="A835:I835"/>
    <mergeCell ref="A338:I340"/>
    <mergeCell ref="A614:I614"/>
    <mergeCell ref="A998:I998"/>
    <mergeCell ref="A1493:I1495"/>
    <mergeCell ref="A82:I84"/>
    <mergeCell ref="A275:I277"/>
    <mergeCell ref="A473:I473"/>
    <mergeCell ref="A1013:I1013"/>
    <mergeCell ref="A1459:I1461"/>
    <mergeCell ref="A1227:I1227"/>
    <mergeCell ref="A643:I643"/>
    <mergeCell ref="A410:I410"/>
    <mergeCell ref="A746:I748"/>
    <mergeCell ref="A18:I18"/>
    <mergeCell ref="A189:I189"/>
    <mergeCell ref="A1488:I1490"/>
    <mergeCell ref="A47:I47"/>
    <mergeCell ref="A1313:I1315"/>
    <mergeCell ref="A1127:I1129"/>
    <mergeCell ref="A563:I563"/>
    <mergeCell ref="A1560:I1560"/>
    <mergeCell ref="A97:I99"/>
    <mergeCell ref="A693:I695"/>
    <mergeCell ref="A960:I962"/>
    <mergeCell ref="A382:I384"/>
    <mergeCell ref="A1351:I1351"/>
    <mergeCell ref="A751:I753"/>
    <mergeCell ref="A1478:I1480"/>
    <mergeCell ref="A688:I690"/>
    <mergeCell ref="A225:I227"/>
    <mergeCell ref="A1346:I1346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1" customWidth="1" min="2" max="2"/>
    <col width="31" customWidth="1" min="3" max="3"/>
    <col width="48" customWidth="1" min="4" max="4"/>
    <col width="48" customWidth="1" min="5" max="5"/>
    <col width="45" customWidth="1" min="6" max="6"/>
    <col width="55" customWidth="1" min="7" max="7"/>
    <col width="55" customWidth="1" min="8" max="8"/>
  </cols>
  <sheetData>
    <row r="1">
      <c r="A1" s="7" t="inlineStr">
        <is>
          <t>Benchmark</t>
        </is>
      </c>
      <c r="B1" s="7" t="inlineStr">
        <is>
          <t>Category</t>
        </is>
      </c>
      <c r="C1" s="7" t="inlineStr">
        <is>
          <t>Difficulty Ladder</t>
        </is>
      </c>
      <c r="D1" s="7" t="inlineStr">
        <is>
          <t>What is</t>
        </is>
      </c>
      <c r="E1" s="7" t="inlineStr">
        <is>
          <t>Explain for 11</t>
        </is>
      </c>
      <c r="F1" s="7" t="inlineStr">
        <is>
          <t>Top-score example</t>
        </is>
      </c>
      <c r="G1" s="7" t="inlineStr">
        <is>
          <t>Similar tests and differences</t>
        </is>
      </c>
      <c r="H1" s="7" t="inlineStr">
        <is>
          <t>Top score note</t>
        </is>
      </c>
    </row>
    <row r="2">
      <c r="A2" s="8" t="inlineStr">
        <is>
          <t>GSM8K</t>
        </is>
      </c>
      <c r="B2" s="8" t="inlineStr">
        <is>
          <t>Math &amp; Reasoning</t>
        </is>
      </c>
      <c r="C2" s="8" t="inlineStr">
        <is>
          <t>1 - Starter math</t>
        </is>
      </c>
      <c r="D2" s="8" t="inlineStr">
        <is>
          <t>Grade-school arithmetic word problems.</t>
        </is>
      </c>
      <c r="E2" s="8" t="inlineStr">
        <is>
          <t>Story problems: read the sentence, set up the numbers, and calculate the answer.</t>
        </is>
      </c>
      <c r="F2" s="8" t="inlineStr">
        <is>
          <t>multi-step school word problems with clean arithmetic</t>
        </is>
      </c>
      <c r="G2" s="8" t="inlineStr">
        <is>
          <t>Easier than MATH, AIME, HMMT, and IMO-style tests.</t>
        </is>
      </c>
      <c r="H2" s="8" t="inlineStr">
        <is>
          <t>Top available score here: DeepSeek V4-Pro Max at 92.6 % EM. At that level, the model is solving multi-step school word problems with clean arithmetic.</t>
        </is>
      </c>
    </row>
    <row r="3">
      <c r="A3" s="8" t="inlineStr">
        <is>
          <t>HumanEval</t>
        </is>
      </c>
      <c r="B3" s="8" t="inlineStr">
        <is>
          <t>Coding</t>
        </is>
      </c>
      <c r="C3" s="8" t="inlineStr">
        <is>
          <t>1 - Starter coding</t>
        </is>
      </c>
      <c r="D3" s="8" t="inlineStr">
        <is>
          <t>Small Python function-writing tasks checked by hidden tests.</t>
        </is>
      </c>
      <c r="E3" s="8" t="inlineStr">
        <is>
          <t>Write one short function, then the computer tries secret examples to see if it works.</t>
        </is>
      </c>
      <c r="F3" s="8" t="inlineStr">
        <is>
          <t>basic Python functions such as list cleanup, string logic, or simple algorithms</t>
        </is>
      </c>
      <c r="G3" s="8" t="inlineStr">
        <is>
          <t>Simpler and older than LiveCodeBench; much smaller than SWE-Bench.</t>
        </is>
      </c>
      <c r="H3" s="8" t="inlineStr">
        <is>
          <t>Top available score here: DeepSeek V4-Pro Max at 76.8 % pass@1. At that level, the model is solving basic Python functions such as list cleanup, string logic, or simple algorithms.</t>
        </is>
      </c>
    </row>
    <row r="4">
      <c r="A4" s="8" t="inlineStr">
        <is>
          <t>SimpleQA-Verified</t>
        </is>
      </c>
      <c r="B4" s="8" t="inlineStr">
        <is>
          <t>Math &amp; Reasoning</t>
        </is>
      </c>
      <c r="C4" s="8" t="inlineStr">
        <is>
          <t>1 - Starter facts</t>
        </is>
      </c>
      <c r="D4" s="8" t="inlineStr">
        <is>
          <t>Short factual questions with verified answers.</t>
        </is>
      </c>
      <c r="E4" s="8" t="inlineStr">
        <is>
          <t>A fact-check quiz: answer clearly and do not make things up.</t>
        </is>
      </c>
      <c r="F4" s="8" t="inlineStr">
        <is>
          <t>straight factual questions where accuracy matters more than style</t>
        </is>
      </c>
      <c r="G4" s="8" t="inlineStr">
        <is>
          <t>Unlike BrowseComp, the answer should not require a long web hunt.</t>
        </is>
      </c>
      <c r="H4" s="8" t="inlineStr">
        <is>
          <t>Top available score here: DeepSeek V4-Pro Max at 57.9 % pass. At that level, the model is solving straight factual questions where accuracy matters more than style.</t>
        </is>
      </c>
    </row>
    <row r="5">
      <c r="A5" s="8" t="inlineStr">
        <is>
          <t>MATH</t>
        </is>
      </c>
      <c r="B5" s="8" t="inlineStr">
        <is>
          <t>Math &amp; Reasoning</t>
        </is>
      </c>
      <c r="C5" s="8" t="inlineStr">
        <is>
          <t>2 - School contest math</t>
        </is>
      </c>
      <c r="D5" s="8" t="inlineStr">
        <is>
          <t>Competition-style math problems covering algebra, geometry, counting, and number theory.</t>
        </is>
      </c>
      <c r="E5" s="8" t="inlineStr">
        <is>
          <t>Hard school math puzzles where one missed step ruins the answer.</t>
        </is>
      </c>
      <c r="F5" s="8" t="inlineStr">
        <is>
          <t>contest math that needs several steps, not just arithmetic</t>
        </is>
      </c>
      <c r="G5" s="8" t="inlineStr">
        <is>
          <t>Harder than GSM8K; easier than AIME/HMMT/IMO and FrontierMath.</t>
        </is>
      </c>
      <c r="H5" s="8" t="inlineStr">
        <is>
          <t>Top available score here: DeepSeek V4-Pro Max at 64.5 % EM. At that level, the model is solving contest math that needs several steps, not just arithmetic.</t>
        </is>
      </c>
    </row>
    <row r="6">
      <c r="A6" s="8" t="inlineStr">
        <is>
          <t>MMLU-Pro</t>
        </is>
      </c>
      <c r="B6" s="8" t="inlineStr">
        <is>
          <t>Math &amp; Reasoning</t>
        </is>
      </c>
      <c r="C6" s="8" t="inlineStr">
        <is>
          <t>2 - Broad knowledge</t>
        </is>
      </c>
      <c r="D6" s="8" t="inlineStr">
        <is>
          <t>A harder version of MMLU with professional and academic multiple-choice questions.</t>
        </is>
      </c>
      <c r="E6" s="8" t="inlineStr">
        <is>
          <t>A big quiz across school and work subjects, but the questions try to trick shallow guessing.</t>
        </is>
      </c>
      <c r="F6" s="8" t="inlineStr">
        <is>
          <t>multi-subject reasoning across science, law, medicine, and humanities</t>
        </is>
      </c>
      <c r="G6" s="8" t="inlineStr">
        <is>
          <t>Broader than GPQA, which focuses on expert science.</t>
        </is>
      </c>
      <c r="H6" s="8" t="inlineStr">
        <is>
          <t>Top available score here: DeepSeek V4-Pro Max at 87.5 % EM. At that level, the model is solving multi-subject reasoning across science, law, medicine, and humanities.</t>
        </is>
      </c>
    </row>
    <row r="7">
      <c r="A7" s="8" t="inlineStr">
        <is>
          <t>MMMLU</t>
        </is>
      </c>
      <c r="B7" s="8" t="inlineStr">
        <is>
          <t>Writing &amp; Knowledge</t>
        </is>
      </c>
      <c r="C7" s="8" t="inlineStr">
        <is>
          <t>2 - Multilingual knowledge</t>
        </is>
      </c>
      <c r="D7" s="8" t="inlineStr">
        <is>
          <t>A multilingual MMLU-style benchmark for knowledge across languages.</t>
        </is>
      </c>
      <c r="E7" s="8" t="inlineStr">
        <is>
          <t>The same big school quiz idea, but not only in English.</t>
        </is>
      </c>
      <c r="F7" s="8" t="inlineStr">
        <is>
          <t>knowledge questions in multiple languages</t>
        </is>
      </c>
      <c r="G7" s="8" t="inlineStr">
        <is>
          <t>Related to GMMLU and MILU; these compare language coverage more than coding power.</t>
        </is>
      </c>
      <c r="H7" s="8" t="inlineStr">
        <is>
          <t>No comparable public score is recorded in this workbook yet. The guide entry is included so you can track it when a model card or leaderboard publishes scores.</t>
        </is>
      </c>
    </row>
    <row r="8">
      <c r="A8" s="8" t="inlineStr">
        <is>
          <t>GMMLU English</t>
        </is>
      </c>
      <c r="B8" s="8" t="inlineStr">
        <is>
          <t>Writing &amp; Knowledge</t>
        </is>
      </c>
      <c r="C8" s="8" t="inlineStr">
        <is>
          <t>2 - Multilingual knowledge</t>
        </is>
      </c>
      <c r="D8" s="8" t="inlineStr">
        <is>
          <t>The English slice of a global MMLU-style benchmark.</t>
        </is>
      </c>
      <c r="E8" s="8" t="inlineStr">
        <is>
          <t>The English version of a world knowledge quiz.</t>
        </is>
      </c>
      <c r="F8" s="8" t="inlineStr">
        <is>
          <t>English-language academic and professional knowledge questions</t>
        </is>
      </c>
      <c r="G8" s="8" t="inlineStr">
        <is>
          <t>Use beside low-resource averages to see whether a model is only strong in major languages.</t>
        </is>
      </c>
      <c r="H8" s="8" t="inlineStr">
        <is>
          <t>No comparable public score is recorded in this workbook yet. The guide entry is included so you can track it when a model card or leaderboard publishes scores.</t>
        </is>
      </c>
    </row>
    <row r="9">
      <c r="A9" s="8" t="inlineStr">
        <is>
          <t>GMMLU low-resource average</t>
        </is>
      </c>
      <c r="B9" s="8" t="inlineStr">
        <is>
          <t>Writing &amp; Knowledge</t>
        </is>
      </c>
      <c r="C9" s="8" t="inlineStr">
        <is>
          <t>2 - Multilingual knowledge</t>
        </is>
      </c>
      <c r="D9" s="8" t="inlineStr">
        <is>
          <t>Average performance across lower-resource languages.</t>
        </is>
      </c>
      <c r="E9" s="8" t="inlineStr">
        <is>
          <t>A test of whether the AI still helps in languages with less training data online.</t>
        </is>
      </c>
      <c r="F9" s="8" t="inlineStr">
        <is>
          <t>knowledge questions in languages with fewer public training examples</t>
        </is>
      </c>
      <c r="G9" s="8" t="inlineStr">
        <is>
          <t>More about language fairness than raw reasoning difficulty.</t>
        </is>
      </c>
      <c r="H9" s="8" t="inlineStr">
        <is>
          <t>No comparable public score is recorded in this workbook yet. The guide entry is included so you can track it when a model card or leaderboard publishes scores.</t>
        </is>
      </c>
    </row>
    <row r="10">
      <c r="A10" s="8" t="inlineStr">
        <is>
          <t>MILU average</t>
        </is>
      </c>
      <c r="B10" s="8" t="inlineStr">
        <is>
          <t>Writing &amp; Knowledge</t>
        </is>
      </c>
      <c r="C10" s="8" t="inlineStr">
        <is>
          <t>2 - Multilingual knowledge</t>
        </is>
      </c>
      <c r="D10" s="8" t="inlineStr">
        <is>
          <t>A multilingual language-understanding average.</t>
        </is>
      </c>
      <c r="E10" s="8" t="inlineStr">
        <is>
          <t>Another world-language report card for general knowledge.</t>
        </is>
      </c>
      <c r="F10" s="8" t="inlineStr">
        <is>
          <t>general knowledge and reasoning across languages</t>
        </is>
      </c>
      <c r="G10" s="8" t="inlineStr">
        <is>
          <t>Similar to GMMLU; compare exact datasets before ranking models.</t>
        </is>
      </c>
      <c r="H10" s="8" t="inlineStr">
        <is>
          <t>No comparable public score is recorded in this workbook yet. The guide entry is included so you can track it when a model card or leaderboard publishes scores.</t>
        </is>
      </c>
    </row>
    <row r="11">
      <c r="A11" s="8" t="inlineStr">
        <is>
          <t>LiveCodeBench v6</t>
        </is>
      </c>
      <c r="B11" s="8" t="inlineStr">
        <is>
          <t>Coding</t>
        </is>
      </c>
      <c r="C11" s="8" t="inlineStr">
        <is>
          <t>2 - Current coding</t>
        </is>
      </c>
      <c r="D11" s="8" t="inlineStr">
        <is>
          <t>Fresh programming contest-style tasks designed to reduce memorization.</t>
        </is>
      </c>
      <c r="E11" s="8" t="inlineStr">
        <is>
          <t>A newer coding contest where the model cannot just remember old answers.</t>
        </is>
      </c>
      <c r="F11" s="8" t="inlineStr">
        <is>
          <t>algorithmic coding problems with hidden tests</t>
        </is>
      </c>
      <c r="G11" s="8" t="inlineStr">
        <is>
          <t>More current than HumanEval; not as project-like as SWE-Bench.</t>
        </is>
      </c>
      <c r="H11" s="8" t="inlineStr">
        <is>
          <t>Top available score here: DeepSeek V4-Pro Max at 93.5 % pass. At that level, the model is solving algorithmic coding problems with hidden tests.</t>
        </is>
      </c>
    </row>
    <row r="12">
      <c r="A12" s="8" t="inlineStr">
        <is>
          <t>OJBench Python</t>
        </is>
      </c>
      <c r="B12" s="8" t="inlineStr">
        <is>
          <t>Coding</t>
        </is>
      </c>
      <c r="C12" s="8" t="inlineStr">
        <is>
          <t>2 - Current coding</t>
        </is>
      </c>
      <c r="D12" s="8" t="inlineStr">
        <is>
          <t>Online-judge Python programming tasks.</t>
        </is>
      </c>
      <c r="E12" s="8" t="inlineStr">
        <is>
          <t>Coding contest puzzles where the answer must pass lots of hidden cases.</t>
        </is>
      </c>
      <c r="F12" s="8" t="inlineStr">
        <is>
          <t>Python algorithm puzzles with strict pass/fail tests</t>
        </is>
      </c>
      <c r="G12" s="8" t="inlineStr">
        <is>
          <t>Close to LiveCodeBench, but focused on online-judge style Python.</t>
        </is>
      </c>
      <c r="H12" s="8" t="inlineStr">
        <is>
          <t>Top available score here: Kimi K2.6 at 60.6 % pass. At that level, the model is solving Python algorithm puzzles with strict pass/fail tests.</t>
        </is>
      </c>
    </row>
    <row r="13">
      <c r="A13" s="8" t="inlineStr">
        <is>
          <t>SciCode</t>
        </is>
      </c>
      <c r="B13" s="8" t="inlineStr">
        <is>
          <t>Coding</t>
        </is>
      </c>
      <c r="C13" s="8" t="inlineStr">
        <is>
          <t>3 - Scientific coding</t>
        </is>
      </c>
      <c r="D13" s="8" t="inlineStr">
        <is>
          <t>Scientific programming tasks that need domain formulas and code.</t>
        </is>
      </c>
      <c r="E13" s="8" t="inlineStr">
        <is>
          <t>Write code for science-style problems, not just toy puzzles.</t>
        </is>
      </c>
      <c r="F13" s="8" t="inlineStr">
        <is>
          <t>math/science code that uses formulas, arrays, or simulation logic</t>
        </is>
      </c>
      <c r="G13" s="8" t="inlineStr">
        <is>
          <t>More science-flavored than HumanEval or OJBench.</t>
        </is>
      </c>
      <c r="H13" s="8" t="inlineStr">
        <is>
          <t>Top available score here: Kimi K2.6 at 52.2 % score. At that level, the model is solving math/science code that uses formulas, arrays, or simulation logic.</t>
        </is>
      </c>
    </row>
    <row r="14">
      <c r="A14" s="8" t="inlineStr">
        <is>
          <t>Terminal-Bench 2.0</t>
        </is>
      </c>
      <c r="B14" s="8" t="inlineStr">
        <is>
          <t>Coding</t>
        </is>
      </c>
      <c r="C14" s="8" t="inlineStr">
        <is>
          <t>3 - Real computer work</t>
        </is>
      </c>
      <c r="D14" s="8" t="inlineStr">
        <is>
          <t>Command-line engineering tasks with files, tools, errors, and iteration.</t>
        </is>
      </c>
      <c r="E14" s="8" t="inlineStr">
        <is>
          <t>The AI uses the computer's command box, reads errors, fixes files, and tries again.</t>
        </is>
      </c>
      <c r="F14" s="8" t="inlineStr">
        <is>
          <t>multi-step terminal workflows like installing, testing, debugging, and file edits</t>
        </is>
      </c>
      <c r="G14" s="8" t="inlineStr">
        <is>
          <t>Tests tool operation; SWE-Bench tests real repository bug fixes.</t>
        </is>
      </c>
      <c r="H14" s="8" t="inlineStr">
        <is>
          <t>Top available score here: ChatGPT 5.5 at 82.7 % accuracy. At that level, the model is solving multi-step terminal workflows like installing, testing, debugging, and file edits.</t>
        </is>
      </c>
    </row>
    <row r="15">
      <c r="A15" s="8" t="inlineStr">
        <is>
          <t>SWE-Bench Verified</t>
        </is>
      </c>
      <c r="B15" s="8" t="inlineStr">
        <is>
          <t>Coding</t>
        </is>
      </c>
      <c r="C15" s="8" t="inlineStr">
        <is>
          <t>3 - Real software fixes</t>
        </is>
      </c>
      <c r="D15" s="8" t="inlineStr">
        <is>
          <t>Human-checked GitHub software issues, usually cleaner than the full benchmark.</t>
        </is>
      </c>
      <c r="E15" s="8" t="inlineStr">
        <is>
          <t>A trusted set of broken software tasks where humans checked the task is fair.</t>
        </is>
      </c>
      <c r="F15" s="8" t="inlineStr">
        <is>
          <t>real bug fixes where the model must patch code and pass tests</t>
        </is>
      </c>
      <c r="G15" s="8" t="inlineStr">
        <is>
          <t>Easier/cleaner than SWE-Bench Pro; less broad than Multilingual.</t>
        </is>
      </c>
      <c r="H15" s="8" t="inlineStr">
        <is>
          <t>Top available score here: Claude Opus 4.7 at 87.6 % resolved. At that level, the model is solving real bug fixes where the model must patch code and pass tests.</t>
        </is>
      </c>
    </row>
    <row r="16">
      <c r="A16" s="8" t="inlineStr">
        <is>
          <t>SWE-Bench Pro</t>
        </is>
      </c>
      <c r="B16" s="8" t="inlineStr">
        <is>
          <t>Coding</t>
        </is>
      </c>
      <c r="C16" s="8" t="inlineStr">
        <is>
          <t>4 - Hard software fixes</t>
        </is>
      </c>
      <c r="D16" s="8" t="inlineStr">
        <is>
          <t>A harder real-repository software repair benchmark.</t>
        </is>
      </c>
      <c r="E16" s="8" t="inlineStr">
        <is>
          <t>A tough broken app: find the bug, edit the right files, and prove the fix works.</t>
        </is>
      </c>
      <c r="F16" s="8" t="inlineStr">
        <is>
          <t>messy GitHub issues needing code reading, reasoning, and tests</t>
        </is>
      </c>
      <c r="G16" s="8" t="inlineStr">
        <is>
          <t>Harder than Verified; more directly comparable across frontier coding agents.</t>
        </is>
      </c>
      <c r="H16" s="8" t="inlineStr">
        <is>
          <t>Top available score here: Claude Opus 4.7 at 64.3 % resolved. At that level, the model is solving messy GitHub issues needing code reading, reasoning, and tests.</t>
        </is>
      </c>
    </row>
    <row r="17">
      <c r="A17" s="8" t="inlineStr">
        <is>
          <t>SWE-Bench Multilingual</t>
        </is>
      </c>
      <c r="B17" s="8" t="inlineStr">
        <is>
          <t>Coding</t>
        </is>
      </c>
      <c r="C17" s="8" t="inlineStr">
        <is>
          <t>4 - Multilingual software</t>
        </is>
      </c>
      <c r="D17" s="8" t="inlineStr">
        <is>
          <t>SWE-style tasks across programming languages.</t>
        </is>
      </c>
      <c r="E17" s="8" t="inlineStr">
        <is>
          <t>Like fixing software, but the project might not be Python.</t>
        </is>
      </c>
      <c r="F17" s="8" t="inlineStr">
        <is>
          <t>bugs in JavaScript, Java, Go, Rust, or other language projects</t>
        </is>
      </c>
      <c r="G17" s="8" t="inlineStr">
        <is>
          <t>Different from language benchmarks: this is programming-language diversity.</t>
        </is>
      </c>
      <c r="H17" s="8" t="inlineStr">
        <is>
          <t>Top available score here: Kimi K2.6 at 76.7 % resolved. At that level, the model is solving bugs in JavaScript, Java, Go, Rust, or other language projects.</t>
        </is>
      </c>
    </row>
    <row r="18">
      <c r="A18" s="8" t="inlineStr">
        <is>
          <t>Multi SWE Bench</t>
        </is>
      </c>
      <c r="B18" s="8" t="inlineStr">
        <is>
          <t>Coding</t>
        </is>
      </c>
      <c r="C18" s="8" t="inlineStr">
        <is>
          <t>4 - Multi-repo software</t>
        </is>
      </c>
      <c r="D18" s="8" t="inlineStr">
        <is>
          <t>Software engineering tasks that can span larger or multiple repositories.</t>
        </is>
      </c>
      <c r="E18" s="8" t="inlineStr">
        <is>
          <t>The AI has to understand more than one folder or project area.</t>
        </is>
      </c>
      <c r="F18" s="8" t="inlineStr">
        <is>
          <t>repository-level changes that need broader context</t>
        </is>
      </c>
      <c r="G18" s="8" t="inlineStr">
        <is>
          <t>Close to SWE-Bench, but more about wider codebase navigation.</t>
        </is>
      </c>
      <c r="H18" s="8" t="inlineStr">
        <is>
          <t>Top available score here: MiniMax M2.7 at 52.7 % resolved. At that level, the model is solving repository-level changes that need broader context.</t>
        </is>
      </c>
    </row>
    <row r="19">
      <c r="A19" s="8" t="inlineStr">
        <is>
          <t>SWE-Lancer IC Diamond</t>
        </is>
      </c>
      <c r="B19" s="8" t="inlineStr">
        <is>
          <t>Coding</t>
        </is>
      </c>
      <c r="C19" s="8" t="inlineStr">
        <is>
          <t>4 - Freelance software work</t>
        </is>
      </c>
      <c r="D19" s="8" t="inlineStr">
        <is>
          <t>Hard software tasks modeled after independent-contractor work.</t>
        </is>
      </c>
      <c r="E19" s="8" t="inlineStr">
        <is>
          <t>A freelance coding job where the final result must satisfy a client-style task.</t>
        </is>
      </c>
      <c r="F19" s="8" t="inlineStr">
        <is>
          <t>larger practical coding jobs with project constraints</t>
        </is>
      </c>
      <c r="G19" s="8" t="inlineStr">
        <is>
          <t>More work-like than HumanEval; related to SWE-Bench but framed as paid tasks.</t>
        </is>
      </c>
      <c r="H19" s="8" t="inlineStr">
        <is>
          <t>Top available score here: ChatGPT 5.3 Codex at 81.4 % score. At that level, the model is solving larger practical coding jobs with project constraints.</t>
        </is>
      </c>
    </row>
    <row r="20">
      <c r="A20" s="8" t="inlineStr">
        <is>
          <t>NL2Repo</t>
        </is>
      </c>
      <c r="B20" s="8" t="inlineStr">
        <is>
          <t>Coding</t>
        </is>
      </c>
      <c r="C20" s="8" t="inlineStr">
        <is>
          <t>4 - Build from request</t>
        </is>
      </c>
      <c r="D20" s="8" t="inlineStr">
        <is>
          <t>Turns natural-language requirements into repository-level code changes.</t>
        </is>
      </c>
      <c r="E20" s="8" t="inlineStr">
        <is>
          <t>Someone describes what they want, and the AI has to change the whole project.</t>
        </is>
      </c>
      <c r="F20" s="8" t="inlineStr">
        <is>
          <t>feature work across files from a plain-English request</t>
        </is>
      </c>
      <c r="G20" s="8" t="inlineStr">
        <is>
          <t>More creation-oriented than SWE-Bench, which starts with known issues.</t>
        </is>
      </c>
      <c r="H20" s="8" t="inlineStr">
        <is>
          <t>Top available score here: GLM-5.1 at 42.7 % score. At that level, the model is solving feature work across files from a plain-English request.</t>
        </is>
      </c>
    </row>
    <row r="21">
      <c r="A21" s="8" t="inlineStr">
        <is>
          <t>VIBE-Pro</t>
        </is>
      </c>
      <c r="B21" s="8" t="inlineStr">
        <is>
          <t>Coding</t>
        </is>
      </c>
      <c r="C21" s="8" t="inlineStr">
        <is>
          <t>4 - Full project delivery</t>
        </is>
      </c>
      <c r="D21" s="8" t="inlineStr">
        <is>
          <t>End-to-end project delivery or app-building benchmark.</t>
        </is>
      </c>
      <c r="E21" s="8" t="inlineStr">
        <is>
          <t>Can the AI build the whole little product, not just solve one puzzle?</t>
        </is>
      </c>
      <c r="F21" s="8" t="inlineStr">
        <is>
          <t>multi-file implementation tasks with polish and working behavior</t>
        </is>
      </c>
      <c r="G21" s="8" t="inlineStr">
        <is>
          <t>Broader than NL2Repo; more product-like than a coding contest.</t>
        </is>
      </c>
      <c r="H21" s="8" t="inlineStr">
        <is>
          <t>Top available score here: MiniMax M2.7 at 55.6 % score. At that level, the model is solving multi-file implementation tasks with polish and working behavior.</t>
        </is>
      </c>
    </row>
    <row r="22">
      <c r="A22" s="8" t="inlineStr">
        <is>
          <t>Codeforces</t>
        </is>
      </c>
      <c r="B22" s="8" t="inlineStr">
        <is>
          <t>Math &amp; Reasoning</t>
        </is>
      </c>
      <c r="C22" s="8" t="inlineStr">
        <is>
          <t>4 - Competitive programming</t>
        </is>
      </c>
      <c r="D22" s="8" t="inlineStr">
        <is>
          <t>A competitive-programming rating based on algorithmic problem solving.</t>
        </is>
      </c>
      <c r="E22" s="8" t="inlineStr">
        <is>
          <t>Like a chess rating, but for programming contests.</t>
        </is>
      </c>
      <c r="F22" s="8" t="inlineStr">
        <is>
          <t>advanced algorithms under contest-style constraints</t>
        </is>
      </c>
      <c r="G22" s="8" t="inlineStr">
        <is>
          <t>Comparable to LiveCodeBench only loosely; rating and percent scores are different.</t>
        </is>
      </c>
      <c r="H22" s="8" t="inlineStr">
        <is>
          <t>Top available score here: DeepSeek V4-Pro Max at 3206 rating. At that level, the model is solving advanced algorithms under contest-style constraints.</t>
        </is>
      </c>
    </row>
    <row r="23">
      <c r="A23" s="8" t="inlineStr">
        <is>
          <t>GPQA-Diamond</t>
        </is>
      </c>
      <c r="B23" s="8" t="inlineStr">
        <is>
          <t>Math &amp; Reasoning</t>
        </is>
      </c>
      <c r="C23" s="8" t="inlineStr">
        <is>
          <t>4 - Expert science</t>
        </is>
      </c>
      <c r="D23" s="8" t="inlineStr">
        <is>
          <t>Very hard graduate-level science questions.</t>
        </is>
      </c>
      <c r="E23" s="8" t="inlineStr">
        <is>
          <t>Science questions where even smart adults may need the right specialty.</t>
        </is>
      </c>
      <c r="F23" s="8" t="inlineStr">
        <is>
          <t>physics, chemistry, and biology questions that punish guessing</t>
        </is>
      </c>
      <c r="G23" s="8" t="inlineStr">
        <is>
          <t>Narrower and deeper than MMLU-Pro; less math-contest-specific than AIME.</t>
        </is>
      </c>
      <c r="H23" s="8" t="inlineStr">
        <is>
          <t>Top available score here: Claude Opus 4.7 at 94.2 % accuracy. At that level, the model is solving physics, chemistry, and biology questions that punish guessing.</t>
        </is>
      </c>
    </row>
    <row r="24">
      <c r="A24" s="8" t="inlineStr">
        <is>
          <t>AIME 2026</t>
        </is>
      </c>
      <c r="B24" s="8" t="inlineStr">
        <is>
          <t>Math &amp; Reasoning</t>
        </is>
      </c>
      <c r="C24" s="8" t="inlineStr">
        <is>
          <t>4 - Elite school math</t>
        </is>
      </c>
      <c r="D24" s="8" t="inlineStr">
        <is>
          <t>American Invitational Mathematics Examination problems.</t>
        </is>
      </c>
      <c r="E24" s="8" t="inlineStr">
        <is>
          <t>Very hard high-school math contest questions with exact numeric answers.</t>
        </is>
      </c>
      <c r="F24" s="8" t="inlineStr">
        <is>
          <t>number theory, geometry, algebra, and counting puzzles</t>
        </is>
      </c>
      <c r="G24" s="8" t="inlineStr">
        <is>
          <t>Harder than MATH; usually easier than HMMT/IMO and FrontierMath.</t>
        </is>
      </c>
      <c r="H24" s="8" t="inlineStr">
        <is>
          <t>Top available score here: Kimi K2.6 at 96.4 % accuracy. At that level, the model is solving number theory, geometry, algebra, and counting puzzles.</t>
        </is>
      </c>
    </row>
    <row r="25">
      <c r="A25" s="8" t="inlineStr">
        <is>
          <t>HMMT 2025 Nov</t>
        </is>
      </c>
      <c r="B25" s="8" t="inlineStr">
        <is>
          <t>Math &amp; Reasoning</t>
        </is>
      </c>
      <c r="C25" s="8" t="inlineStr">
        <is>
          <t>5 - Elite contest math</t>
        </is>
      </c>
      <c r="D25" s="8" t="inlineStr">
        <is>
          <t>Harvard-MIT math tournament problems.</t>
        </is>
      </c>
      <c r="E25" s="8" t="inlineStr">
        <is>
          <t>A top school math team contest with clever, compressed puzzles.</t>
        </is>
      </c>
      <c r="F25" s="8" t="inlineStr">
        <is>
          <t>high-end contest math with several clever insights</t>
        </is>
      </c>
      <c r="G25" s="8" t="inlineStr">
        <is>
          <t>Similar to HMMT 2026 Feb; both sit above AIME-style difficulty.</t>
        </is>
      </c>
      <c r="H25" s="8" t="inlineStr">
        <is>
          <t>Top available score here: GLM-5.1 at 94 % pass. At that level, the model is solving high-end contest math with several clever insights.</t>
        </is>
      </c>
    </row>
    <row r="26">
      <c r="A26" s="8" t="inlineStr">
        <is>
          <t>HMMT 2026 Feb</t>
        </is>
      </c>
      <c r="B26" s="8" t="inlineStr">
        <is>
          <t>Math &amp; Reasoning</t>
        </is>
      </c>
      <c r="C26" s="8" t="inlineStr">
        <is>
          <t>5 - Elite contest math</t>
        </is>
      </c>
      <c r="D26" s="8" t="inlineStr">
        <is>
          <t>Harvard-MIT math tournament problems from February 2026.</t>
        </is>
      </c>
      <c r="E26" s="8" t="inlineStr">
        <is>
          <t>A very hard team math contest for students who love puzzles.</t>
        </is>
      </c>
      <c r="F26" s="8" t="inlineStr">
        <is>
          <t>high-end contest math with tricky multi-step solutions</t>
        </is>
      </c>
      <c r="G26" s="8" t="inlineStr">
        <is>
          <t>Harder than AIME; less open-ended than IMO-style answer benchmarks.</t>
        </is>
      </c>
      <c r="H26" s="8" t="inlineStr">
        <is>
          <t>Top available score here: DeepSeek V4-Pro Max at 95.2 % pass. At that level, the model is solving high-end contest math with tricky multi-step solutions.</t>
        </is>
      </c>
    </row>
    <row r="27">
      <c r="A27" s="8" t="inlineStr">
        <is>
          <t>IMO-AnswerBench</t>
        </is>
      </c>
      <c r="B27" s="8" t="inlineStr">
        <is>
          <t>Math &amp; Reasoning</t>
        </is>
      </c>
      <c r="C27" s="8" t="inlineStr">
        <is>
          <t>5 - Olympiad math</t>
        </is>
      </c>
      <c r="D27" s="8" t="inlineStr">
        <is>
          <t>Olympiad-style math answer evaluation.</t>
        </is>
      </c>
      <c r="E27" s="8" t="inlineStr">
        <is>
          <t>The AI faces math problems closer to world-championship puzzle level.</t>
        </is>
      </c>
      <c r="F27" s="8" t="inlineStr">
        <is>
          <t>proof-like olympiad math where exact reasoning matters</t>
        </is>
      </c>
      <c r="G27" s="8" t="inlineStr">
        <is>
          <t>More proof/olympiad flavored than AIME or HMMT.</t>
        </is>
      </c>
      <c r="H27" s="8" t="inlineStr">
        <is>
          <t>Top available score here: DeepSeek V4-Pro Max at 89.8 % pass. At that level, the model is solving proof-like olympiad math where exact reasoning matters.</t>
        </is>
      </c>
    </row>
    <row r="28">
      <c r="A28" s="8" t="inlineStr">
        <is>
          <t>FrontierMath Tier 1-3</t>
        </is>
      </c>
      <c r="B28" s="8" t="inlineStr">
        <is>
          <t>Math &amp; Reasoning</t>
        </is>
      </c>
      <c r="C28" s="8" t="inlineStr">
        <is>
          <t>6 - Frontier math</t>
        </is>
      </c>
      <c r="D28" s="8" t="inlineStr">
        <is>
          <t>Very hard frontier math problems where current models still miss many.</t>
        </is>
      </c>
      <c r="E28" s="8" t="inlineStr">
        <is>
          <t>Math puzzles so hard that even top AIs do not reliably solve them.</t>
        </is>
      </c>
      <c r="F28" s="8" t="inlineStr">
        <is>
          <t>research-flavored math requiring deep chains of reasoning</t>
        </is>
      </c>
      <c r="G28" s="8" t="inlineStr">
        <is>
          <t>Harder than AIME/HMMT/IMO-style answer sets.</t>
        </is>
      </c>
      <c r="H28" s="8" t="inlineStr">
        <is>
          <t>Top available score here: ChatGPT 5.5 at 51.7 % pass. At that level, the model is solving research-flavored math requiring deep chains of reasoning.</t>
        </is>
      </c>
    </row>
    <row r="29">
      <c r="A29" s="8" t="inlineStr">
        <is>
          <t>FrontierMath Tier 4</t>
        </is>
      </c>
      <c r="B29" s="8" t="inlineStr">
        <is>
          <t>Math &amp; Reasoning</t>
        </is>
      </c>
      <c r="C29" s="8" t="inlineStr">
        <is>
          <t>6 - Frontier math</t>
        </is>
      </c>
      <c r="D29" s="8" t="inlineStr">
        <is>
          <t>The harder FrontierMath tier.</t>
        </is>
      </c>
      <c r="E29" s="8" t="inlineStr">
        <is>
          <t>The boss level of the math ladder in this report.</t>
        </is>
      </c>
      <c r="F29" s="8" t="inlineStr">
        <is>
          <t>the most difficult frontier math items in the source set</t>
        </is>
      </c>
      <c r="G29" s="8" t="inlineStr">
        <is>
          <t>Harder than FrontierMath Tier 1-3.</t>
        </is>
      </c>
      <c r="H29" s="8" t="inlineStr">
        <is>
          <t>Top available score here: ChatGPT 5.5 at 35.4 % pass. At that level, the model is solving the most difficult frontier math items in the source set.</t>
        </is>
      </c>
    </row>
    <row r="30">
      <c r="A30" s="8" t="inlineStr">
        <is>
          <t>HLE</t>
        </is>
      </c>
      <c r="B30" s="8" t="inlineStr">
        <is>
          <t>Math &amp; Reasoning</t>
        </is>
      </c>
      <c r="C30" s="8" t="inlineStr">
        <is>
          <t>6 - Broad frontier exam</t>
        </is>
      </c>
      <c r="D30" s="8" t="inlineStr">
        <is>
          <t>Humanity's Last Exam: broad, very difficult knowledge and reasoning.</t>
        </is>
      </c>
      <c r="E30" s="8" t="inlineStr">
        <is>
          <t>A giant final exam with questions from many expert fields.</t>
        </is>
      </c>
      <c r="F30" s="8" t="inlineStr">
        <is>
          <t>hard science, humanities, and reasoning questions beyond normal exams</t>
        </is>
      </c>
      <c r="G30" s="8" t="inlineStr">
        <is>
          <t>Broader than GPQA; not limited to math.</t>
        </is>
      </c>
      <c r="H30" s="8" t="inlineStr">
        <is>
          <t>Top available score here: DeepSeek V4-Pro Max at 37.7 % pass. At that level, the model is solving hard science, humanities, and reasoning questions beyond normal exams.</t>
        </is>
      </c>
    </row>
    <row r="31">
      <c r="A31" s="8" t="inlineStr">
        <is>
          <t>HLE w/ tools</t>
        </is>
      </c>
      <c r="B31" s="8" t="inlineStr">
        <is>
          <t>Agentic &amp; Other</t>
        </is>
      </c>
      <c r="C31" s="8" t="inlineStr">
        <is>
          <t>6 - Broad frontier with tools</t>
        </is>
      </c>
      <c r="D31" s="8" t="inlineStr">
        <is>
          <t>Humanity's Last Exam with allowed external tools.</t>
        </is>
      </c>
      <c r="E31" s="8" t="inlineStr">
        <is>
          <t>The same giant exam, but the AI can use tools like search or code.</t>
        </is>
      </c>
      <c r="F31" s="8" t="inlineStr">
        <is>
          <t>hard expert questions plus tool choice and research</t>
        </is>
      </c>
      <c r="G31" s="8" t="inlineStr">
        <is>
          <t>Tool access makes it different from plain HLE.</t>
        </is>
      </c>
      <c r="H31" s="8" t="inlineStr">
        <is>
          <t>Top available score here: Claude Opus 4.7 at 54.7 % pass. At that level, the model is solving hard expert questions plus tool choice and research.</t>
        </is>
      </c>
    </row>
    <row r="32">
      <c r="A32" s="8" t="inlineStr">
        <is>
          <t>ARC-AGI-2 Verified</t>
        </is>
      </c>
      <c r="B32" s="8" t="inlineStr">
        <is>
          <t>Agentic &amp; Other</t>
        </is>
      </c>
      <c r="C32" s="8" t="inlineStr">
        <is>
          <t>6 - Abstract reasoning</t>
        </is>
      </c>
      <c r="D32" s="8" t="inlineStr">
        <is>
          <t>A verified version of ARC-AGI-2, focused on abstract pattern reasoning.</t>
        </is>
      </c>
      <c r="E32" s="8" t="inlineStr">
        <is>
          <t>Colored-grid puzzles where the AI must notice the hidden rule from examples.</t>
        </is>
      </c>
      <c r="F32" s="8" t="inlineStr">
        <is>
          <t>visual pattern puzzles that demand flexible reasoning</t>
        </is>
      </c>
      <c r="G32" s="8" t="inlineStr">
        <is>
          <t>Different from knowledge tests: memorized facts do not help much.</t>
        </is>
      </c>
      <c r="H32" s="8" t="inlineStr">
        <is>
          <t>No comparable public score is recorded in this workbook yet. The guide entry is included so you can track it when a model card or leaderboard publishes scores.</t>
        </is>
      </c>
    </row>
    <row r="33">
      <c r="A33" s="8" t="inlineStr">
        <is>
          <t>GDPval</t>
        </is>
      </c>
      <c r="B33" s="8" t="inlineStr">
        <is>
          <t>Writing &amp; Knowledge</t>
        </is>
      </c>
      <c r="C33" s="8" t="inlineStr">
        <is>
          <t>3 - Professional work</t>
        </is>
      </c>
      <c r="D33" s="8" t="inlineStr">
        <is>
          <t>Professional knowledge-work tasks such as documents, spreadsheets, analysis, and reports.</t>
        </is>
      </c>
      <c r="E33" s="8" t="inlineStr">
        <is>
          <t>Can the AI do office homework well enough that a professional would accept it?</t>
        </is>
      </c>
      <c r="F33" s="8" t="inlineStr">
        <is>
          <t>reports, spreadsheets, legal/finance-style summaries, and analysis</t>
        </is>
      </c>
      <c r="G33" s="8" t="inlineStr">
        <is>
          <t>GDPval is usually percent wins/ties; GDPval-AA uses Elo-style ranking.</t>
        </is>
      </c>
      <c r="H33" s="8" t="inlineStr">
        <is>
          <t>Top available score here: ChatGPT 5.5 at 84.9 % wins or ties. At that level, the model is solving reports, spreadsheets, legal/finance-style summaries, and analysis.</t>
        </is>
      </c>
    </row>
    <row r="34">
      <c r="A34" s="8" t="inlineStr">
        <is>
          <t>GDPval-AA</t>
        </is>
      </c>
      <c r="B34" s="8" t="inlineStr">
        <is>
          <t>Writing &amp; Knowledge</t>
        </is>
      </c>
      <c r="C34" s="8" t="inlineStr">
        <is>
          <t>3 - Professional work</t>
        </is>
      </c>
      <c r="D34" s="8" t="inlineStr">
        <is>
          <t>An Artificial Analysis professional-task benchmark using Elo-style scores.</t>
        </is>
      </c>
      <c r="E34" s="8" t="inlineStr">
        <is>
          <t>A league table for office-work ability.</t>
        </is>
      </c>
      <c r="F34" s="8" t="inlineStr">
        <is>
          <t>document, spreadsheet, finance, legal, and business-analysis tasks</t>
        </is>
      </c>
      <c r="G34" s="8" t="inlineStr">
        <is>
          <t>Related to GDPval but the scoring format is different.</t>
        </is>
      </c>
      <c r="H34" s="8" t="inlineStr">
        <is>
          <t>Top available score here: Claude Opus 4.7 at 1753 Elo. At that level, the model is solving document, spreadsheet, finance, legal, and business-analysis tasks.</t>
        </is>
      </c>
    </row>
    <row r="35">
      <c r="A35" s="8" t="inlineStr">
        <is>
          <t>Finance Agent</t>
        </is>
      </c>
      <c r="B35" s="8" t="inlineStr">
        <is>
          <t>Writing &amp; Knowledge</t>
        </is>
      </c>
      <c r="C35" s="8" t="inlineStr">
        <is>
          <t>4 - Finance work</t>
        </is>
      </c>
      <c r="D35" s="8" t="inlineStr">
        <is>
          <t>Finance-specific agent tasks: analysis, calculations, filings, and tool use.</t>
        </is>
      </c>
      <c r="E35" s="8" t="inlineStr">
        <is>
          <t>A money-and-company homework test for the AI.</t>
        </is>
      </c>
      <c r="F35" s="8" t="inlineStr">
        <is>
          <t>financial analysis workflows, tables, and source-grounded answers</t>
        </is>
      </c>
      <c r="G35" s="8" t="inlineStr">
        <is>
          <t>Narrower than GDPval; more domain-specific.</t>
        </is>
      </c>
      <c r="H35" s="8" t="inlineStr">
        <is>
          <t>No comparable public score is recorded in this workbook yet. The guide entry is included so you can track it when a model card or leaderboard publishes scores.</t>
        </is>
      </c>
    </row>
    <row r="36">
      <c r="A36" s="8" t="inlineStr">
        <is>
          <t>MMMU-Pro</t>
        </is>
      </c>
      <c r="B36" s="8" t="inlineStr">
        <is>
          <t>Writing &amp; Knowledge</t>
        </is>
      </c>
      <c r="C36" s="8" t="inlineStr">
        <is>
          <t>5 - Multimodal expert</t>
        </is>
      </c>
      <c r="D36" s="8" t="inlineStr">
        <is>
          <t>A harder multimodal benchmark using images plus text across expert subjects.</t>
        </is>
      </c>
      <c r="E36" s="8" t="inlineStr">
        <is>
          <t>The AI must read pictures, diagrams, charts, and questions together.</t>
        </is>
      </c>
      <c r="F36" s="8" t="inlineStr">
        <is>
          <t>diagram-heavy science, engineering, and exam questions</t>
        </is>
      </c>
      <c r="G36" s="8" t="inlineStr">
        <is>
          <t>Harder than plain MMMU/MMMLU because vision and expert reasoning combine.</t>
        </is>
      </c>
      <c r="H36" s="8" t="inlineStr">
        <is>
          <t>No comparable public score is recorded in this workbook yet. The guide entry is included so you can track it when a model card or leaderboard publishes scores.</t>
        </is>
      </c>
    </row>
    <row r="37">
      <c r="A37" s="8" t="inlineStr">
        <is>
          <t>MMMU-Pro w/ tools</t>
        </is>
      </c>
      <c r="B37" s="8" t="inlineStr">
        <is>
          <t>Agentic &amp; Other</t>
        </is>
      </c>
      <c r="C37" s="8" t="inlineStr">
        <is>
          <t>5 - Multimodal with tools</t>
        </is>
      </c>
      <c r="D37" s="8" t="inlineStr">
        <is>
          <t>MMMU-Pro with external tools allowed.</t>
        </is>
      </c>
      <c r="E37" s="8" t="inlineStr">
        <is>
          <t>The AI can use tools while solving picture-and-text expert questions.</t>
        </is>
      </c>
      <c r="F37" s="8" t="inlineStr">
        <is>
          <t>multimodal exam problems plus tool-assisted research or calculation</t>
        </is>
      </c>
      <c r="G37" s="8" t="inlineStr">
        <is>
          <t>Different from MMMU-Pro because tool choice becomes part of the test.</t>
        </is>
      </c>
      <c r="H37" s="8" t="inlineStr">
        <is>
          <t>No comparable public score is recorded in this workbook yet. The guide entry is included so you can track it when a model card or leaderboard publishes scores.</t>
        </is>
      </c>
    </row>
    <row r="38">
      <c r="A38" s="8" t="inlineStr">
        <is>
          <t>OSWorld-Verified</t>
        </is>
      </c>
      <c r="B38" s="8" t="inlineStr">
        <is>
          <t>Agentic &amp; Other</t>
        </is>
      </c>
      <c r="C38" s="8" t="inlineStr">
        <is>
          <t>3 - Desktop operation</t>
        </is>
      </c>
      <c r="D38" s="8" t="inlineStr">
        <is>
          <t>Real desktop-computer tasks through a visual interface.</t>
        </is>
      </c>
      <c r="E38" s="8" t="inlineStr">
        <is>
          <t>The AI clicks, types, reads the screen, and completes computer tasks.</t>
        </is>
      </c>
      <c r="F38" s="8" t="inlineStr">
        <is>
          <t>spreadsheet, browser, and app workflows on a computer screen</t>
        </is>
      </c>
      <c r="G38" s="8" t="inlineStr">
        <is>
          <t>More UI-focused than Terminal-Bench, which is command-line focused.</t>
        </is>
      </c>
      <c r="H38" s="8" t="inlineStr">
        <is>
          <t>Top available score here: ChatGPT 5.5 at 78.7 % success. At that level, the model is solving spreadsheet, browser, and app workflows on a computer screen.</t>
        </is>
      </c>
    </row>
    <row r="39">
      <c r="A39" s="8" t="inlineStr">
        <is>
          <t>BrowseComp</t>
        </is>
      </c>
      <c r="B39" s="8" t="inlineStr">
        <is>
          <t>Agentic &amp; Other</t>
        </is>
      </c>
      <c r="C39" s="8" t="inlineStr">
        <is>
          <t>4 - Web research</t>
        </is>
      </c>
      <c r="D39" s="8" t="inlineStr">
        <is>
          <t>Difficult web browsing and retrieval tasks.</t>
        </is>
      </c>
      <c r="E39" s="8" t="inlineStr">
        <is>
          <t>An internet treasure hunt where the answer is hidden behind several clues.</t>
        </is>
      </c>
      <c r="F39" s="8" t="inlineStr">
        <is>
          <t>web research questions needing persistence and source reading</t>
        </is>
      </c>
      <c r="G39" s="8" t="inlineStr">
        <is>
          <t>More search-heavy than general knowledge tests.</t>
        </is>
      </c>
      <c r="H39" s="8" t="inlineStr">
        <is>
          <t>Top available score here: ChatGPT 5.5 at 84.4 % pass. At that level, the model is solving web research questions needing persistence and source reading.</t>
        </is>
      </c>
    </row>
    <row r="40">
      <c r="A40" s="8" t="inlineStr">
        <is>
          <t>BrowseComp w/ context management</t>
        </is>
      </c>
      <c r="B40" s="8" t="inlineStr">
        <is>
          <t>Agentic &amp; Other</t>
        </is>
      </c>
      <c r="C40" s="8" t="inlineStr">
        <is>
          <t>4 - Web research</t>
        </is>
      </c>
      <c r="D40" s="8" t="inlineStr">
        <is>
          <t>BrowseComp with explicit long-context management.</t>
        </is>
      </c>
      <c r="E40" s="8" t="inlineStr">
        <is>
          <t>The AI has to keep track of what it found without forgetting important clues.</t>
        </is>
      </c>
      <c r="F40" s="8" t="inlineStr">
        <is>
          <t>long web investigations with many pieces of evidence</t>
        </is>
      </c>
      <c r="G40" s="8" t="inlineStr">
        <is>
          <t>Harder operationally than plain BrowseComp.</t>
        </is>
      </c>
      <c r="H40" s="8" t="inlineStr">
        <is>
          <t>Top available score here: GLM-5.1 at 79.3 % pass. At that level, the model is solving long web investigations with many pieces of evidence.</t>
        </is>
      </c>
    </row>
    <row r="41">
      <c r="A41" s="8" t="inlineStr">
        <is>
          <t>DeepSearchQA</t>
        </is>
      </c>
      <c r="B41" s="8" t="inlineStr">
        <is>
          <t>Agentic &amp; Other</t>
        </is>
      </c>
      <c r="C41" s="8" t="inlineStr">
        <is>
          <t>4 - Web research</t>
        </is>
      </c>
      <c r="D41" s="8" t="inlineStr">
        <is>
          <t>Search-heavy question answering scored for answer quality.</t>
        </is>
      </c>
      <c r="E41" s="8" t="inlineStr">
        <is>
          <t>The AI searches and returns the right answer, not just a nice-looking paragraph.</t>
        </is>
      </c>
      <c r="F41" s="8" t="inlineStr">
        <is>
          <t>multi-hop research answers from web evidence</t>
        </is>
      </c>
      <c r="G41" s="8" t="inlineStr">
        <is>
          <t>Similar to BrowseComp but framed as QA quality.</t>
        </is>
      </c>
      <c r="H41" s="8" t="inlineStr">
        <is>
          <t>Top available score here: Kimi K2.6 at 92.5 F1. At that level, the model is solving multi-hop research answers from web evidence.</t>
        </is>
      </c>
    </row>
    <row r="42">
      <c r="A42" s="8" t="inlineStr">
        <is>
          <t>Toolathlon</t>
        </is>
      </c>
      <c r="B42" s="8" t="inlineStr">
        <is>
          <t>Agentic &amp; Other</t>
        </is>
      </c>
      <c r="C42" s="8" t="inlineStr">
        <is>
          <t>4 - Tool use</t>
        </is>
      </c>
      <c r="D42" s="8" t="inlineStr">
        <is>
          <t>A benchmark for choosing and using tools correctly.</t>
        </is>
      </c>
      <c r="E42" s="8" t="inlineStr">
        <is>
          <t>The AI has a toolbox and must pick the right tool for each job.</t>
        </is>
      </c>
      <c r="F42" s="8" t="inlineStr">
        <is>
          <t>multi-step tool workflows such as search, calculation, and file actions</t>
        </is>
      </c>
      <c r="G42" s="8" t="inlineStr">
        <is>
          <t>Related to Tool-Decathlon; exact tool set and scoring differ.</t>
        </is>
      </c>
      <c r="H42" s="8" t="inlineStr">
        <is>
          <t>Top available score here: ChatGPT 5.5 at 55.6 % pass. At that level, the model is solving multi-step tool workflows such as search, calculation, and file actions.</t>
        </is>
      </c>
    </row>
    <row r="43">
      <c r="A43" s="8" t="inlineStr">
        <is>
          <t>Tool-Decathlon</t>
        </is>
      </c>
      <c r="B43" s="8" t="inlineStr">
        <is>
          <t>Agentic &amp; Other</t>
        </is>
      </c>
      <c r="C43" s="8" t="inlineStr">
        <is>
          <t>4 - Tool use</t>
        </is>
      </c>
      <c r="D43" s="8" t="inlineStr">
        <is>
          <t>A ten-event tool-use benchmark.</t>
        </is>
      </c>
      <c r="E43" s="8" t="inlineStr">
        <is>
          <t>A decathlon for tools: many different tool events, one overall score.</t>
        </is>
      </c>
      <c r="F43" s="8" t="inlineStr">
        <is>
          <t>diverse tool calls across task types</t>
        </is>
      </c>
      <c r="G43" s="8" t="inlineStr">
        <is>
          <t>Similar to Toolathlon but organized as a ten-part suite.</t>
        </is>
      </c>
      <c r="H43" s="8" t="inlineStr">
        <is>
          <t>Top available score here: GLM-5.1 at 40.7 % pass. At that level, the model is solving diverse tool calls across task types.</t>
        </is>
      </c>
    </row>
    <row r="44">
      <c r="A44" s="8" t="inlineStr">
        <is>
          <t>MCP-Atlas Public</t>
        </is>
      </c>
      <c r="B44" s="8" t="inlineStr">
        <is>
          <t>Agentic &amp; Other</t>
        </is>
      </c>
      <c r="C44" s="8" t="inlineStr">
        <is>
          <t>5 - Tool orchestration</t>
        </is>
      </c>
      <c r="D44" s="8" t="inlineStr">
        <is>
          <t>Multi-tool orchestration using Model Context Protocol-style tasks.</t>
        </is>
      </c>
      <c r="E44" s="8" t="inlineStr">
        <is>
          <t>The AI has to coordinate many connected tools without mixing them up.</t>
        </is>
      </c>
      <c r="F44" s="8" t="inlineStr">
        <is>
          <t>multi-step work across connected apps, data, and tools</t>
        </is>
      </c>
      <c r="G44" s="8" t="inlineStr">
        <is>
          <t>More integration-focused than Toolathlon.</t>
        </is>
      </c>
      <c r="H44" s="8" t="inlineStr">
        <is>
          <t>Top available score here: Claude Opus 4.7 at 77.3 % pass. At that level, the model is solving multi-step work across connected apps, data, and tools.</t>
        </is>
      </c>
    </row>
    <row r="45">
      <c r="A45" s="8" t="inlineStr">
        <is>
          <t>tau3-Bench</t>
        </is>
      </c>
      <c r="B45" s="8" t="inlineStr">
        <is>
          <t>Agentic &amp; Other</t>
        </is>
      </c>
      <c r="C45" s="8" t="inlineStr">
        <is>
          <t>5 - Customer workflow</t>
        </is>
      </c>
      <c r="D45" s="8" t="inlineStr">
        <is>
          <t>Tool-using conversational tasks with realistic service/workflow constraints.</t>
        </is>
      </c>
      <c r="E45" s="8" t="inlineStr">
        <is>
          <t>The AI handles a customer-style job while following rules and using tools.</t>
        </is>
      </c>
      <c r="F45" s="8" t="inlineStr">
        <is>
          <t>multi-turn service workflows with tool calls and policy constraints</t>
        </is>
      </c>
      <c r="G45" s="8" t="inlineStr">
        <is>
          <t>More conversation/workflow-oriented than MCP-Atlas.</t>
        </is>
      </c>
      <c r="H45" s="8" t="inlineStr">
        <is>
          <t>Top available score here: GLM-5.1 at 70.6 % pass. At that level, the model is solving multi-turn service workflows with tool calls and policy constraints.</t>
        </is>
      </c>
    </row>
    <row r="46">
      <c r="A46" s="8" t="inlineStr">
        <is>
          <t>MM Claw</t>
        </is>
      </c>
      <c r="B46" s="8" t="inlineStr">
        <is>
          <t>Agentic &amp; Other</t>
        </is>
      </c>
      <c r="C46" s="8" t="inlineStr">
        <is>
          <t>5 - Complex agent skills</t>
        </is>
      </c>
      <c r="D46" s="8" t="inlineStr">
        <is>
          <t>A benchmark for complex skill execution by agents.</t>
        </is>
      </c>
      <c r="E46" s="8" t="inlineStr">
        <is>
          <t>A mixed obstacle course for an AI worker.</t>
        </is>
      </c>
      <c r="F46" s="8" t="inlineStr">
        <is>
          <t>longer tasks that combine planning, tool use, and execution</t>
        </is>
      </c>
      <c r="G46" s="8" t="inlineStr">
        <is>
          <t>Broader but less standardized than single-skill coding benchmarks.</t>
        </is>
      </c>
      <c r="H46" s="8" t="inlineStr">
        <is>
          <t>Top available score here: MiniMax M2.7 at 62.7 % score. At that level, the model is solving longer tasks that combine planning, tool use, and execution.</t>
        </is>
      </c>
    </row>
    <row r="47">
      <c r="A47" s="8" t="inlineStr">
        <is>
          <t>MLE Bench Lite</t>
        </is>
      </c>
      <c r="B47" s="8" t="inlineStr">
        <is>
          <t>Agentic &amp; Other</t>
        </is>
      </c>
      <c r="C47" s="8" t="inlineStr">
        <is>
          <t>5 - ML competition</t>
        </is>
      </c>
      <c r="D47" s="8" t="inlineStr">
        <is>
          <t>A lighter machine-learning competition benchmark.</t>
        </is>
      </c>
      <c r="E47" s="8" t="inlineStr">
        <is>
          <t>The AI tries small data-science contests and aims for a medal-like result.</t>
        </is>
      </c>
      <c r="F47" s="8" t="inlineStr">
        <is>
          <t>model training, data handling, and experiment iteration</t>
        </is>
      </c>
      <c r="G47" s="8" t="inlineStr">
        <is>
          <t>Different from coding tests because success depends on data-science judgment.</t>
        </is>
      </c>
      <c r="H47" s="8" t="inlineStr">
        <is>
          <t>Top available score here: MiniMax M2.7 at 66.6 % medal rate. At that level, the model is solving model training, data handling, and experiment iteration.</t>
        </is>
      </c>
    </row>
    <row r="48">
      <c r="A48" s="8" t="inlineStr">
        <is>
          <t>CyberGym</t>
        </is>
      </c>
      <c r="B48" s="8" t="inlineStr">
        <is>
          <t>Agentic &amp; Other</t>
        </is>
      </c>
      <c r="C48" s="8" t="inlineStr">
        <is>
          <t>5 - Cybersecurity</t>
        </is>
      </c>
      <c r="D48" s="8" t="inlineStr">
        <is>
          <t>Cybersecurity challenge tasks.</t>
        </is>
      </c>
      <c r="E48" s="8" t="inlineStr">
        <is>
          <t>A computer-security obstacle course for finding and fixing digital weaknesses.</t>
        </is>
      </c>
      <c r="F48" s="8" t="inlineStr">
        <is>
          <t>security tasks such as vulnerability analysis and challenge solving</t>
        </is>
      </c>
      <c r="G48" s="8" t="inlineStr">
        <is>
          <t>Specialized domain test; not a general writing or math benchmark.</t>
        </is>
      </c>
      <c r="H48" s="8" t="inlineStr">
        <is>
          <t>Top available score here: ChatGPT 5.5 at 81.8 % score. At that level, the model is solving security tasks such as vulnerability analysis and challenge solving.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80" customWidth="1" min="2" max="2"/>
  </cols>
  <sheetData>
    <row r="1">
      <c r="A1" s="7" t="inlineStr">
        <is>
          <t>Family</t>
        </is>
      </c>
      <c r="B1" s="7" t="inlineStr">
        <is>
          <t>How to tell them apart</t>
        </is>
      </c>
    </row>
    <row r="2">
      <c r="A2" s="8" t="inlineStr">
        <is>
          <t>SWE-Bench family</t>
        </is>
      </c>
      <c r="B2" s="8" t="inlineStr">
        <is>
          <t>Verified is the cleaner human-checked set. Pro is harder and better for top coding agents. Multilingual checks non-Python codebases. Multi SWE and NL2Repo move closer to broad repository work.</t>
        </is>
      </c>
    </row>
    <row r="3">
      <c r="A3" s="8" t="inlineStr">
        <is>
          <t>Coding puzzle family</t>
        </is>
      </c>
      <c r="B3" s="8" t="inlineStr">
        <is>
          <t>HumanEval is the small starter set. OJBench and LiveCodeBench are current contest-style coding. SciCode adds science formulas. Codeforces is a rating, not a percent score.</t>
        </is>
      </c>
    </row>
    <row r="4">
      <c r="A4" s="8" t="inlineStr">
        <is>
          <t>Math ladder</t>
        </is>
      </c>
      <c r="B4" s="8" t="inlineStr">
        <is>
          <t>GSM8K is the easy entry. MATH is contest practice. AIME is elite high-school math. HMMT and IMO-style tasks are harder. FrontierMath is the boss level.</t>
        </is>
      </c>
    </row>
    <row r="5">
      <c r="A5" s="8" t="inlineStr">
        <is>
          <t>Knowledge and expert reasoning</t>
        </is>
      </c>
      <c r="B5" s="8" t="inlineStr">
        <is>
          <t>MMLU-Pro is broad. GPQA-Diamond is deep expert science. HLE is broad and extreme. SimpleQA checks short factual reliability.</t>
        </is>
      </c>
    </row>
    <row r="6">
      <c r="A6" s="8" t="inlineStr">
        <is>
          <t>Professional work</t>
        </is>
      </c>
      <c r="B6" s="8" t="inlineStr">
        <is>
          <t>GDPval measures office and professional tasks as wins/ties. GDPval-AA uses Elo. Finance Agent narrows the lens to finance workflows.</t>
        </is>
      </c>
    </row>
    <row r="7">
      <c r="A7" s="8" t="inlineStr">
        <is>
          <t>Tool and agent tests</t>
        </is>
      </c>
      <c r="B7" s="8" t="inlineStr">
        <is>
          <t>Toolathlon and Tool-Decathlon ask whether tools are chosen correctly. MCP-Atlas asks whether connected tools are orchestrated. tau3-Bench adds conversation and policy constraints.</t>
        </is>
      </c>
    </row>
    <row r="8">
      <c r="A8" s="8" t="inlineStr">
        <is>
          <t>Web research</t>
        </is>
      </c>
      <c r="B8" s="8" t="inlineStr">
        <is>
          <t>BrowseComp is a hard web treasure hunt. DeepSearchQA is search-heavy question answering. BrowseComp with context management stresses remembering and organizing evidence.</t>
        </is>
      </c>
    </row>
    <row r="9">
      <c r="A9" s="8" t="inlineStr">
        <is>
          <t>Multimodal and multilingual</t>
        </is>
      </c>
      <c r="B9" s="8" t="inlineStr">
        <is>
          <t>MMMU-Pro adds images and diagrams. MMMU-Pro with tools allows external help. MMMLU, GMMLU, and MILU ask whether knowledge works across languages.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3" customWidth="1" min="1" max="1"/>
    <col width="59" customWidth="1" min="2" max="2"/>
    <col width="65" customWidth="1" min="3" max="3"/>
    <col width="65" customWidth="1" min="4" max="4"/>
  </cols>
  <sheetData>
    <row r="1">
      <c r="A1" s="7" t="inlineStr">
        <is>
          <t>ID</t>
        </is>
      </c>
      <c r="B1" s="7" t="inlineStr">
        <is>
          <t>Source</t>
        </is>
      </c>
      <c r="C1" s="7" t="inlineStr">
        <is>
          <t>URL</t>
        </is>
      </c>
      <c r="D1" s="7" t="inlineStr">
        <is>
          <t>Used for</t>
        </is>
      </c>
    </row>
    <row r="2">
      <c r="A2" s="8" t="inlineStr">
        <is>
          <t>openai_gpt55</t>
        </is>
      </c>
      <c r="B2" s="8" t="inlineStr">
        <is>
          <t>OpenAI - Introducing GPT-5.5</t>
        </is>
      </c>
      <c r="C2" s="8" t="inlineStr">
        <is>
          <t>https://openai.com/index/introducing-gpt-5-5/</t>
        </is>
      </c>
      <c r="D2" s="8" t="inlineStr">
        <is>
          <t>ChatGPT 5.5 / GPT-5.5 coding, agentic, knowledge-work, math, and cyber scores.</t>
        </is>
      </c>
    </row>
    <row r="3">
      <c r="A3" s="8" t="inlineStr">
        <is>
          <t>openai_gpt53_codex</t>
        </is>
      </c>
      <c r="B3" s="8" t="inlineStr">
        <is>
          <t>OpenAI - Introducing GPT-5.3-Codex</t>
        </is>
      </c>
      <c r="C3" s="8" t="inlineStr">
        <is>
          <t>https://openai.com/index/introducing-gpt-5-3-codex/</t>
        </is>
      </c>
      <c r="D3" s="8" t="inlineStr">
        <is>
          <t>ChatGPT 5.3 Codex / GPT-5.3-Codex coding, OSWorld, GDPval, CyberGym, and SWE-Lancer scores.</t>
        </is>
      </c>
    </row>
    <row r="4">
      <c r="A4" s="8" t="inlineStr">
        <is>
          <t>anthropic_sonnet46</t>
        </is>
      </c>
      <c r="B4" s="8" t="inlineStr">
        <is>
          <t>Anthropic - Introducing Claude Sonnet 4.6 and system card</t>
        </is>
      </c>
      <c r="C4" s="8" t="inlineStr">
        <is>
          <t>https://www.anthropic.com/news/claude-sonnet-4-6</t>
        </is>
      </c>
      <c r="D4" s="8" t="inlineStr">
        <is>
          <t>Sonnet 4.6 launch context and Anthropic-reported SWE-bench Verified / Terminal-Bench values.</t>
        </is>
      </c>
    </row>
    <row r="5">
      <c r="A5" s="8" t="inlineStr">
        <is>
          <t>anthropic_opus47</t>
        </is>
      </c>
      <c r="B5" s="8" t="inlineStr">
        <is>
          <t>Anthropic - Introducing Claude Opus 4.7</t>
        </is>
      </c>
      <c r="C5" s="8" t="inlineStr">
        <is>
          <t>https://www.anthropic.com/news/claude-opus-4-7</t>
        </is>
      </c>
      <c r="D5" s="8" t="inlineStr">
        <is>
          <t>Opus 4.7 launch context and customer benchmark notes.</t>
        </is>
      </c>
    </row>
    <row r="6">
      <c r="A6" s="8" t="inlineStr">
        <is>
          <t>benchlm_swepro</t>
        </is>
      </c>
      <c r="B6" s="8" t="inlineStr">
        <is>
          <t>BenchLM - SWE-bench Pro leaderboard</t>
        </is>
      </c>
      <c r="C6" s="8" t="inlineStr">
        <is>
          <t>https://benchlm.ai/benchmarks/swePro</t>
        </is>
      </c>
      <c r="D6" s="8" t="inlineStr">
        <is>
          <t>Current SWE-bench Pro leaderboard including Opus 4.7, ChatGPT 5.5, Kimi K2.6, GLM-5.1, ChatGPT 5.3 Codex, MiniMax M2.7, and DeepSeek V4-Pro Max.</t>
        </is>
      </c>
    </row>
    <row r="7">
      <c r="A7" s="8" t="inlineStr">
        <is>
          <t>kimi_hf</t>
        </is>
      </c>
      <c r="B7" s="8" t="inlineStr">
        <is>
          <t>Moonshot AI - Kimi K2.6 Hugging Face model card</t>
        </is>
      </c>
      <c r="C7" s="8" t="inlineStr">
        <is>
          <t>https://huggingface.co/moonshotai/Kimi-K2.6</t>
        </is>
      </c>
      <c r="D7" s="8" t="inlineStr">
        <is>
          <t>Kimi K2.6 model summary and evaluation table.</t>
        </is>
      </c>
    </row>
    <row r="8">
      <c r="A8" s="8" t="inlineStr">
        <is>
          <t>deepseek_hf</t>
        </is>
      </c>
      <c r="B8" s="8" t="inlineStr">
        <is>
          <t>DeepSeek - DeepSeek-V4-Pro Hugging Face model card</t>
        </is>
      </c>
      <c r="C8" s="8" t="inlineStr">
        <is>
          <t>https://huggingface.co/deepseek-ai/DeepSeek-V4-Pro</t>
        </is>
      </c>
      <c r="D8" s="8" t="inlineStr">
        <is>
          <t>DeepSeek V4-Pro Max comparison table and evaluation results.</t>
        </is>
      </c>
    </row>
    <row r="9">
      <c r="A9" s="8" t="inlineStr">
        <is>
          <t>deepseek_transparency</t>
        </is>
      </c>
      <c r="B9" s="8" t="inlineStr">
        <is>
          <t>DeepSeek Transparency Center</t>
        </is>
      </c>
      <c r="C9" s="8" t="inlineStr">
        <is>
          <t>https://www.deepseek.com/en/transparency/</t>
        </is>
      </c>
      <c r="D9" s="8" t="inlineStr">
        <is>
          <t>Confirmed latest DeepSeek V4 release naming and release date.</t>
        </is>
      </c>
    </row>
    <row r="10">
      <c r="A10" s="8" t="inlineStr">
        <is>
          <t>glm_nvidia</t>
        </is>
      </c>
      <c r="B10" s="8" t="inlineStr">
        <is>
          <t>NVIDIA NIM - GLM-5.1 model card</t>
        </is>
      </c>
      <c r="C10" s="8" t="inlineStr">
        <is>
          <t>https://build.nvidia.com/z-ai/glm-5.1/modelcard</t>
        </is>
      </c>
      <c r="D10" s="8" t="inlineStr">
        <is>
          <t>GLM-5.1 coding, math, and tool-use scores.</t>
        </is>
      </c>
    </row>
    <row r="11">
      <c r="A11" s="8" t="inlineStr">
        <is>
          <t>minimax_nvidia</t>
        </is>
      </c>
      <c r="B11" s="8" t="inlineStr">
        <is>
          <t>NVIDIA NIM - MiniMax M2.7 model card</t>
        </is>
      </c>
      <c r="C11" s="8" t="inlineStr">
        <is>
          <t>https://docs.api.nvidia.com/nim/reference/minimaxai-minimax-m2.7</t>
        </is>
      </c>
      <c r="D11" s="8" t="inlineStr">
        <is>
          <t>MiniMax M2.7 coding, productivity, tool-use, and ML competition scores.</t>
        </is>
      </c>
    </row>
    <row r="12">
      <c r="A12" s="8" t="inlineStr">
        <is>
          <t>aa_opus47</t>
        </is>
      </c>
      <c r="B12" s="8" t="inlineStr">
        <is>
          <t>Artificial Analysis - Opus 4.7 analysis</t>
        </is>
      </c>
      <c r="C12" s="8" t="inlineStr">
        <is>
          <t>https://artificialanalysis.ai/articles/opus-4-7-everything-you-need-to-know/</t>
        </is>
      </c>
      <c r="D12" s="8" t="inlineStr">
        <is>
          <t>Opus 4.7 GDPval-AA Elo and Artificial Analysis Intelligence Index context.</t>
        </is>
      </c>
    </row>
    <row r="13">
      <c r="A13" s="8" t="inlineStr">
        <is>
          <t>hokai_opus47</t>
        </is>
      </c>
      <c r="B13" s="8" t="inlineStr">
        <is>
          <t>Hokai - Claude Opus 4.7 benchmark summary</t>
        </is>
      </c>
      <c r="C13" s="8" t="inlineStr">
        <is>
          <t>https://hokai.io/hub/models/claude-4.7-opus</t>
        </is>
      </c>
      <c r="D13" s="8" t="inlineStr">
        <is>
          <t>Opus 4.7 SWE-bench Verified, SWE-bench Pro, GPQA-Diamond, OSWorld, HLE with tools, and MCP-Atlas summary.</t>
        </is>
      </c>
    </row>
    <row r="14">
      <c r="A14" s="8" t="inlineStr">
        <is>
          <t>layerlens_opus47_aime</t>
        </is>
      </c>
      <c r="B14" s="8" t="inlineStr">
        <is>
          <t>LayerLens - Claude Opus 4.7 on AIME 2026</t>
        </is>
      </c>
      <c r="C14" s="8" t="inlineStr">
        <is>
          <t>https://layerlens.ai/blog/claude-opus-4-7-aime2026</t>
        </is>
      </c>
      <c r="D14" s="8" t="inlineStr">
        <is>
          <t>Opus 4.7 AIME 2026 independent/aggregated benchmark entry.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2026-05-23T22:15:43Z</dcterms:created>
  <dcterms:modified xmlns:dcterms="http://purl.org/dc/terms/" xmlns:xsi="http://www.w3.org/2001/XMLSchema-instance" xsi:type="dcterms:W3CDTF">2026-05-23T22:15:44Z</dcterms:modified>
</cp:coreProperties>
</file>